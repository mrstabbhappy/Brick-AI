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taylorwimpey-my.sharepoint.com/personal/adam_kydd_taylorwimpey_com/Documents/1 Supply Chain New - Group Procurement - Adam Kydd/Bricks/Brick Guide/"/>
    </mc:Choice>
  </mc:AlternateContent>
  <xr:revisionPtr revIDLastSave="0" documentId="8_{702A9899-7451-4742-99A5-5562DEE851E9}" xr6:coauthVersionLast="47" xr6:coauthVersionMax="47" xr10:uidLastSave="{00000000-0000-0000-0000-000000000000}"/>
  <bookViews>
    <workbookView xWindow="-108" yWindow="-108" windowWidth="30936" windowHeight="16776" xr2:uid="{677BC3B1-D370-43EA-9863-D86FFC0B1C66}"/>
  </bookViews>
  <sheets>
    <sheet name="Full list" sheetId="1" r:id="rId1"/>
  </sheets>
  <definedNames>
    <definedName name="_xlnm._FilterDatabase" localSheetId="0" hidden="1">'Full list'!$A$1:$M$140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1" l="1"/>
  <c r="F128" i="1"/>
  <c r="F127" i="1"/>
  <c r="F126" i="1"/>
  <c r="F125" i="1" l="1"/>
  <c r="F123" i="1"/>
  <c r="F120" i="1"/>
  <c r="F119" i="1"/>
  <c r="N82" i="1"/>
  <c r="N103" i="1"/>
  <c r="N102" i="1"/>
  <c r="N96" i="1"/>
  <c r="N88" i="1"/>
  <c r="N86" i="1"/>
  <c r="N73" i="1"/>
  <c r="N72" i="1"/>
  <c r="N71" i="1"/>
  <c r="N70" i="1"/>
  <c r="N60" i="1"/>
  <c r="N59" i="1"/>
  <c r="N58" i="1"/>
  <c r="N52" i="1"/>
  <c r="N50" i="1"/>
  <c r="N49" i="1"/>
  <c r="N37" i="1"/>
  <c r="N36" i="1"/>
  <c r="N35" i="1"/>
  <c r="N30" i="1"/>
  <c r="N29" i="1"/>
  <c r="N20" i="1"/>
  <c r="N19" i="1"/>
  <c r="N12" i="1"/>
  <c r="N3" i="1"/>
  <c r="N2" i="1"/>
  <c r="L4" i="1"/>
  <c r="L6" i="1"/>
  <c r="L8" i="1"/>
  <c r="L13" i="1"/>
  <c r="L17" i="1"/>
  <c r="L21" i="1"/>
  <c r="L23" i="1"/>
  <c r="L25" i="1"/>
  <c r="L26" i="1"/>
  <c r="L27" i="1"/>
  <c r="L28" i="1"/>
  <c r="L63" i="1"/>
  <c r="L48" i="1"/>
  <c r="L40" i="1"/>
  <c r="L31" i="1"/>
  <c r="L100" i="1"/>
  <c r="L80" i="1"/>
  <c r="L78" i="1"/>
  <c r="L68" i="1"/>
  <c r="L66" i="1"/>
  <c r="L62" i="1"/>
  <c r="L61" i="1"/>
  <c r="L57" i="1"/>
  <c r="L46" i="1"/>
  <c r="L45" i="1"/>
  <c r="L41" i="1"/>
</calcChain>
</file>

<file path=xl/sharedStrings.xml><?xml version="1.0" encoding="utf-8"?>
<sst xmlns="http://schemas.openxmlformats.org/spreadsheetml/2006/main" count="1143" uniqueCount="222">
  <si>
    <t>Brand</t>
  </si>
  <si>
    <t xml:space="preserve">Factory </t>
  </si>
  <si>
    <t>Type</t>
  </si>
  <si>
    <t xml:space="preserve">Brick Name </t>
  </si>
  <si>
    <t>Colour</t>
  </si>
  <si>
    <t>asp across all regions</t>
  </si>
  <si>
    <t>price banding £/th</t>
  </si>
  <si>
    <t>price band</t>
  </si>
  <si>
    <t>Comments</t>
  </si>
  <si>
    <t>Forecasted Volume</t>
  </si>
  <si>
    <t>New Price</t>
  </si>
  <si>
    <t>New Band</t>
  </si>
  <si>
    <t>Ibstock</t>
  </si>
  <si>
    <t>Chesterton</t>
  </si>
  <si>
    <t>WC</t>
  </si>
  <si>
    <t>Alderley Burgundy (A2947A)</t>
  </si>
  <si>
    <t>Red</t>
  </si>
  <si>
    <t>350-399</t>
  </si>
  <si>
    <t>A</t>
  </si>
  <si>
    <t>Y</t>
  </si>
  <si>
    <t>B</t>
  </si>
  <si>
    <t>New Brick</t>
  </si>
  <si>
    <t>Alderley Orange (A2946A)</t>
  </si>
  <si>
    <t>Orange</t>
  </si>
  <si>
    <t>Wienerberger</t>
  </si>
  <si>
    <t>HARTLEBURY</t>
  </si>
  <si>
    <t>Caldera Red Multi</t>
  </si>
  <si>
    <t>Marshalls</t>
  </si>
  <si>
    <t>Buxton</t>
  </si>
  <si>
    <t>Pressed/Concrete</t>
  </si>
  <si>
    <t>Cheshire Red</t>
  </si>
  <si>
    <t>N</t>
  </si>
  <si>
    <t>WARESLEY</t>
  </si>
  <si>
    <t>Cinnabar Red Multi</t>
  </si>
  <si>
    <t>Grove/Maltby</t>
  </si>
  <si>
    <t>Cleeve Cedar/Hazeley Heath</t>
  </si>
  <si>
    <t>DENTON</t>
  </si>
  <si>
    <t>Crofters Medley</t>
  </si>
  <si>
    <t xml:space="preserve">Grove/Buxton </t>
  </si>
  <si>
    <t>Dewstow Wren/Weathered Wren</t>
  </si>
  <si>
    <t>Dymock Bronze/Adwick Sunrise</t>
  </si>
  <si>
    <t xml:space="preserve">Filton Red/Frieston Red </t>
  </si>
  <si>
    <t>Grampian Red Mixture</t>
  </si>
  <si>
    <t>Harvest Buff Multi</t>
  </si>
  <si>
    <t>Buff/Yellow</t>
  </si>
  <si>
    <t>Kendleshire Haze/Samwell Haze</t>
  </si>
  <si>
    <t>Grove/Buxton</t>
  </si>
  <si>
    <t>Lakeside Buff/Killin Buff</t>
  </si>
  <si>
    <t>Landsdown Corn/Ilkley Burnt Maise</t>
  </si>
  <si>
    <t>Leamington Buff</t>
  </si>
  <si>
    <t>Long Ashton Currant/Winterbourne Berry</t>
  </si>
  <si>
    <t>Atlas</t>
  </si>
  <si>
    <t>Mercia Antique (A0368A)</t>
  </si>
  <si>
    <t>400-449</t>
  </si>
  <si>
    <t>Dorket Head</t>
  </si>
  <si>
    <t>Minster Beckstone Mixture (A2428A)</t>
  </si>
  <si>
    <t>Mulberry Red</t>
  </si>
  <si>
    <t>Naunton Dawn/Scarborough Sunrise</t>
  </si>
  <si>
    <t>SANDOWN</t>
  </si>
  <si>
    <t>Pembridge</t>
  </si>
  <si>
    <t>Peterstone Red/Boston Burnt Lava</t>
  </si>
  <si>
    <t>Sandalwood Yellow Mulit</t>
  </si>
  <si>
    <t>EWHURST</t>
  </si>
  <si>
    <t>Sienna Red</t>
  </si>
  <si>
    <t>Sunset Red Multi</t>
  </si>
  <si>
    <t>SM</t>
  </si>
  <si>
    <t>Warm Golden Buff</t>
  </si>
  <si>
    <t>Welbeck Autumn Antique (A2426A)</t>
  </si>
  <si>
    <t>Welbeck Red Mixture (A2423A)</t>
  </si>
  <si>
    <t>Woodlands Mix</t>
  </si>
  <si>
    <t>Woodspring Garnet/Portmore Claret</t>
  </si>
  <si>
    <t>Crest</t>
  </si>
  <si>
    <t>Dumoulin (Belgium)</t>
  </si>
  <si>
    <t>Abbey Reserve</t>
  </si>
  <si>
    <t>Forterra</t>
  </si>
  <si>
    <t>DESFORD</t>
  </si>
  <si>
    <t>Arden Special Reserve</t>
  </si>
  <si>
    <t>Aston Red (A0120A)</t>
  </si>
  <si>
    <t>Aston Weathered Red (A0121A)</t>
  </si>
  <si>
    <t>Balmoral (A2405A)</t>
  </si>
  <si>
    <t>Bespoke</t>
  </si>
  <si>
    <t>Solava (Italy)</t>
  </si>
  <si>
    <t>Billingham</t>
  </si>
  <si>
    <t>Britannia</t>
  </si>
  <si>
    <t>Cedarwood Multi</t>
  </si>
  <si>
    <t>WARNHAM</t>
  </si>
  <si>
    <t>Chartham Multi</t>
  </si>
  <si>
    <t>C</t>
  </si>
  <si>
    <t>Cheshire Red Multi</t>
  </si>
  <si>
    <t>KIRTON</t>
  </si>
  <si>
    <t>Clumber Red</t>
  </si>
  <si>
    <t>Clumber Red Mixture</t>
  </si>
  <si>
    <t>TODHILLS</t>
  </si>
  <si>
    <t>Dorton Manor</t>
  </si>
  <si>
    <t>Durham Claret</t>
  </si>
  <si>
    <t>Edwardian Dragfaced</t>
  </si>
  <si>
    <r>
      <t>Ewhust Medium Multi</t>
    </r>
    <r>
      <rPr>
        <sz val="9"/>
        <color rgb="FFFF0000"/>
        <rFont val="Aptos Narrow"/>
        <family val="2"/>
        <scheme val="minor"/>
      </rPr>
      <t xml:space="preserve"> </t>
    </r>
  </si>
  <si>
    <t>Throckley</t>
  </si>
  <si>
    <t>Grainger Antique (A2769A)</t>
  </si>
  <si>
    <t>Grainger Autumn (A2770A)</t>
  </si>
  <si>
    <t>Tay Buff Multi</t>
  </si>
  <si>
    <t>450-499</t>
  </si>
  <si>
    <t>Grainger Gold (A2771A)</t>
  </si>
  <si>
    <t>Kimbolton Red Multi</t>
  </si>
  <si>
    <t>Kirton Arden Red</t>
  </si>
  <si>
    <t>Leicestershire Russet Mixture</t>
  </si>
  <si>
    <t>Lindum Cottage Red Multi</t>
  </si>
  <si>
    <t>Maplehurst</t>
  </si>
  <si>
    <t>Mercia Orange Multi (A0367A)</t>
  </si>
  <si>
    <t>Minster Cream Blend</t>
  </si>
  <si>
    <t>Morpeth Blend (A2804A)</t>
  </si>
  <si>
    <t>New red multi gilt</t>
  </si>
  <si>
    <t>Orange Multi Guilt Stock</t>
  </si>
  <si>
    <t>Rothesay Blend</t>
  </si>
  <si>
    <t>Village Harvest Multi</t>
  </si>
  <si>
    <t>Village Sunglow</t>
  </si>
  <si>
    <t>Waresley red</t>
  </si>
  <si>
    <t>Worcestershire Red Multi</t>
  </si>
  <si>
    <t>Yellow Multi Gilt Stock</t>
  </si>
  <si>
    <t>ACCRINGTON</t>
  </si>
  <si>
    <t>Breckland Multi Reserve</t>
  </si>
  <si>
    <t>500-549</t>
  </si>
  <si>
    <t>Cattybrook</t>
  </si>
  <si>
    <t>Brunswick Autumn (A0638A)</t>
  </si>
  <si>
    <t>Brunswick Buff (A0640A)</t>
  </si>
  <si>
    <t>Brunswick Farmhouse (A0636A)</t>
  </si>
  <si>
    <t>Brunswick Wilton Yellow (A0643A)</t>
  </si>
  <si>
    <t>Chatsworth Multi</t>
  </si>
  <si>
    <t>Earlswood Grey/Marble Grey</t>
  </si>
  <si>
    <t>Grey</t>
  </si>
  <si>
    <t>D</t>
  </si>
  <si>
    <t>Farmstead Antique</t>
  </si>
  <si>
    <t>Fulwood Multi</t>
  </si>
  <si>
    <t>Hurstwood Multi</t>
  </si>
  <si>
    <t>Meadow Red</t>
  </si>
  <si>
    <t>Warnham Red</t>
  </si>
  <si>
    <t>Woodside Mixture</t>
  </si>
  <si>
    <t>Parkhouse</t>
  </si>
  <si>
    <t>Audley Red Mixture (A3022A)</t>
  </si>
  <si>
    <t>Nelissen (Belgium)</t>
  </si>
  <si>
    <t>Elgin Blend</t>
  </si>
  <si>
    <t>Brickability</t>
  </si>
  <si>
    <t>Rossum, Neth</t>
  </si>
  <si>
    <t>Epsom</t>
  </si>
  <si>
    <t>Zandberg, Neth</t>
  </si>
  <si>
    <t>Esher</t>
  </si>
  <si>
    <t>Marlborough</t>
  </si>
  <si>
    <t>Grove</t>
  </si>
  <si>
    <t>Mayfair Vintage</t>
  </si>
  <si>
    <t>New Sandhurst Stock (A3057A)</t>
  </si>
  <si>
    <t>Old Hambleton</t>
  </si>
  <si>
    <t>Old Ryedale</t>
  </si>
  <si>
    <t>Heinrich (Germany)</t>
  </si>
  <si>
    <t>Old Saxon Blend</t>
  </si>
  <si>
    <t>Pearl Spar</t>
  </si>
  <si>
    <t>E</t>
  </si>
  <si>
    <t>Quartz White</t>
  </si>
  <si>
    <t>White</t>
  </si>
  <si>
    <t>Selbourne Red</t>
  </si>
  <si>
    <t>Selbourne Red Multi</t>
  </si>
  <si>
    <t>Weston Red Multi Stock (A3055A)</t>
  </si>
  <si>
    <t>Ascot</t>
  </si>
  <si>
    <t>550-599</t>
  </si>
  <si>
    <t>MEASHAM</t>
  </si>
  <si>
    <t>Atherstone Red</t>
  </si>
  <si>
    <t>Atherstone Red Multi</t>
  </si>
  <si>
    <t>Hallington Grey Multi</t>
  </si>
  <si>
    <t>F</t>
  </si>
  <si>
    <t>Kingston</t>
  </si>
  <si>
    <t>Eclipse</t>
  </si>
  <si>
    <t>Leicester Weathered Multi Stock</t>
  </si>
  <si>
    <t>Leicester Weathered Red Stock (A0813A)</t>
  </si>
  <si>
    <t>Oakthorpe Red Multi</t>
  </si>
  <si>
    <t>Oakthorpe Red Stock</t>
  </si>
  <si>
    <t>Windsor</t>
  </si>
  <si>
    <t>Hampton Rural Blend</t>
  </si>
  <si>
    <t>600-649</t>
  </si>
  <si>
    <t>Horta</t>
  </si>
  <si>
    <t>Floren, Neth</t>
  </si>
  <si>
    <t>Sussex Red Multi</t>
  </si>
  <si>
    <t>remove</t>
  </si>
  <si>
    <t>Belgravia Gault Blend</t>
  </si>
  <si>
    <t>650-699</t>
  </si>
  <si>
    <t>G</t>
  </si>
  <si>
    <t>Burwell Buff</t>
  </si>
  <si>
    <t>Leicester Multi Cream</t>
  </si>
  <si>
    <t>Madrid, Spain</t>
  </si>
  <si>
    <t>Lydney Red</t>
  </si>
  <si>
    <t>Severn Red Multi</t>
  </si>
  <si>
    <t>Raglan</t>
  </si>
  <si>
    <t>VDG, Portugal</t>
  </si>
  <si>
    <t>Clifton Red Multi</t>
  </si>
  <si>
    <t>Usk</t>
  </si>
  <si>
    <t>Pembroke</t>
  </si>
  <si>
    <t>Holland</t>
  </si>
  <si>
    <t>Admiral Red Multi</t>
  </si>
  <si>
    <t>Portugal</t>
  </si>
  <si>
    <t>Amphion</t>
  </si>
  <si>
    <t>Spain</t>
  </si>
  <si>
    <t>Amanda Red Multi</t>
  </si>
  <si>
    <t>Blazer Red</t>
  </si>
  <si>
    <t>Belgium</t>
  </si>
  <si>
    <t>Atlas Orange Multi</t>
  </si>
  <si>
    <t>Barton Light Multi</t>
  </si>
  <si>
    <t>English Red</t>
  </si>
  <si>
    <t xml:space="preserve">Monarch Red Multi </t>
  </si>
  <si>
    <t>Zircon</t>
  </si>
  <si>
    <t>Chatsworth Buff</t>
  </si>
  <si>
    <t>Haaften (Holland)</t>
  </si>
  <si>
    <t>Woodstock Buff</t>
  </si>
  <si>
    <t>Woodbridge Claret Stock</t>
  </si>
  <si>
    <t>Dorchester Red Stock</t>
  </si>
  <si>
    <t>Beerse (Belgium)</t>
  </si>
  <si>
    <t>Colorado</t>
  </si>
  <si>
    <t>Kansas Red Multi</t>
  </si>
  <si>
    <t>Reno Red Multi</t>
  </si>
  <si>
    <t>Arizona Yellow</t>
  </si>
  <si>
    <t>Dakota</t>
  </si>
  <si>
    <t>Hartford Red Multi</t>
  </si>
  <si>
    <t>New Montana</t>
  </si>
  <si>
    <t>Stamford Weathered Buff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</si>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</sst>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/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4" fillId="0" borderId="3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2" fontId="0" fillId="0" borderId="0" xfId="0" applyNumberFormat="1"/>
    <xf numFmtId="0" fontId="0" fillId="0" borderId="1" xfId="0" applyBorder="1"/>
    <xf numFmtId="0" fontId="0" fillId="4" borderId="1" xfId="0" applyFill="1" applyBorder="1"/>
    <xf numFmtId="0" fontId="3" fillId="5" borderId="1" xfId="0" applyFont="1" applyFill="1" applyBorder="1"/>
    <xf numFmtId="0" fontId="4" fillId="5" borderId="3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5" borderId="0" xfId="0" applyFill="1"/>
    <xf numFmtId="10" fontId="0" fillId="0" borderId="0" xfId="1" applyNumberFormat="1" applyFont="1"/>
    <xf numFmtId="0" fontId="0" fillId="4" borderId="1" xfId="0" applyFill="1" applyBorder="1" applyAlignment="1">
      <alignment horizontal="center"/>
    </xf>
    <xf numFmtId="0" fontId="3" fillId="4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4" fontId="4" fillId="6" borderId="2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" fillId="7" borderId="1" xfId="0" applyFont="1" applyFill="1" applyBorder="1"/>
    <xf numFmtId="0" fontId="4" fillId="7" borderId="1" xfId="0" applyFont="1" applyFill="1" applyBorder="1"/>
    <xf numFmtId="0" fontId="4" fillId="7" borderId="3" xfId="0" applyFont="1" applyFill="1" applyBorder="1" applyAlignment="1">
      <alignment horizontal="left"/>
    </xf>
    <xf numFmtId="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7" borderId="1" xfId="0" applyFill="1" applyBorder="1"/>
    <xf numFmtId="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4" fontId="3" fillId="4" borderId="2" xfId="0" applyNumberFormat="1" applyFont="1" applyFill="1" applyBorder="1" applyAlignment="1">
      <alignment horizontal="center"/>
    </xf>
    <xf numFmtId="0" fontId="3" fillId="8" borderId="1" xfId="0" applyFont="1" applyFill="1" applyBorder="1"/>
    <xf numFmtId="0" fontId="3" fillId="8" borderId="3" xfId="0" applyFont="1" applyFill="1" applyBorder="1"/>
    <xf numFmtId="0" fontId="4" fillId="8" borderId="1" xfId="0" applyFont="1" applyFill="1" applyBorder="1" applyAlignment="1">
      <alignment horizontal="left" vertical="center"/>
    </xf>
    <xf numFmtId="4" fontId="4" fillId="8" borderId="1" xfId="0" applyNumberFormat="1" applyFont="1" applyFill="1" applyBorder="1" applyAlignment="1">
      <alignment horizontal="center" vertical="center"/>
    </xf>
    <xf numFmtId="4" fontId="4" fillId="8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DD46-D7C1-445F-8B85-68A955A0BC06}">
  <dimension ref="A1:O140"/>
  <sheetViews>
    <sheetView tabSelected="1" zoomScale="130" zoomScaleNormal="130" workbookViewId="0">
      <selection sqref="A1:E1048576"/>
    </sheetView>
  </sheetViews>
  <sheetFormatPr defaultColWidth="11" defaultRowHeight="15.6"/>
  <cols>
    <col min="2" max="2" width="16.125" bestFit="1" customWidth="1"/>
    <col min="3" max="3" width="12.125" customWidth="1"/>
    <col min="4" max="4" width="29.125" customWidth="1"/>
    <col min="6" max="6" width="18.125" bestFit="1" customWidth="1"/>
    <col min="7" max="7" width="12.25" customWidth="1"/>
    <col min="9" max="9" width="23.125" hidden="1" customWidth="1"/>
    <col min="10" max="10" width="15.125" style="5" hidden="1" customWidth="1"/>
    <col min="11" max="11" width="0" hidden="1" customWidth="1"/>
    <col min="12" max="13" width="11" style="5"/>
    <col min="14" max="14" width="11" style="3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</row>
    <row r="2" spans="1:15">
      <c r="A2" s="6" t="s">
        <v>12</v>
      </c>
      <c r="B2" s="6" t="s">
        <v>13</v>
      </c>
      <c r="C2" s="6" t="s">
        <v>14</v>
      </c>
      <c r="D2" s="7" t="s">
        <v>15</v>
      </c>
      <c r="E2" s="8" t="s">
        <v>16</v>
      </c>
      <c r="F2" s="9">
        <v>396.5</v>
      </c>
      <c r="G2" s="9" t="s">
        <v>17</v>
      </c>
      <c r="H2" s="9" t="s">
        <v>18</v>
      </c>
      <c r="I2" s="10"/>
      <c r="J2" s="3" t="s">
        <v>19</v>
      </c>
      <c r="L2" s="3">
        <v>420.43</v>
      </c>
      <c r="M2" s="36" t="s">
        <v>20</v>
      </c>
      <c r="N2" s="35">
        <f>(L2-F2)/F2</f>
        <v>6.035308953341742E-2</v>
      </c>
      <c r="O2" s="34" t="s">
        <v>21</v>
      </c>
    </row>
    <row r="3" spans="1:15">
      <c r="A3" s="6" t="s">
        <v>12</v>
      </c>
      <c r="B3" s="6" t="s">
        <v>13</v>
      </c>
      <c r="C3" s="6" t="s">
        <v>14</v>
      </c>
      <c r="D3" s="7" t="s">
        <v>22</v>
      </c>
      <c r="E3" s="7" t="s">
        <v>23</v>
      </c>
      <c r="F3" s="9">
        <v>396.5</v>
      </c>
      <c r="G3" s="9" t="s">
        <v>17</v>
      </c>
      <c r="H3" s="9" t="s">
        <v>18</v>
      </c>
      <c r="I3" s="10"/>
      <c r="J3" s="3" t="s">
        <v>19</v>
      </c>
      <c r="L3" s="3">
        <v>420.43</v>
      </c>
      <c r="M3" s="36" t="s">
        <v>20</v>
      </c>
      <c r="N3" s="35">
        <f>(L3-F3)/F3</f>
        <v>6.035308953341742E-2</v>
      </c>
    </row>
    <row r="4" spans="1:15">
      <c r="A4" s="6" t="s">
        <v>24</v>
      </c>
      <c r="B4" s="37" t="s">
        <v>25</v>
      </c>
      <c r="C4" s="6" t="s">
        <v>14</v>
      </c>
      <c r="D4" s="7" t="s">
        <v>26</v>
      </c>
      <c r="E4" s="8" t="s">
        <v>16</v>
      </c>
      <c r="F4" s="14">
        <v>370</v>
      </c>
      <c r="G4" s="22" t="s">
        <v>17</v>
      </c>
      <c r="H4" s="22" t="s">
        <v>18</v>
      </c>
      <c r="I4" s="10"/>
      <c r="J4" s="3" t="s">
        <v>19</v>
      </c>
      <c r="L4" s="28">
        <f>F4*1.07</f>
        <v>395.90000000000003</v>
      </c>
      <c r="M4" s="28" t="s">
        <v>18</v>
      </c>
      <c r="N4"/>
    </row>
    <row r="5" spans="1:15">
      <c r="A5" s="8" t="s">
        <v>27</v>
      </c>
      <c r="B5" s="8" t="s">
        <v>28</v>
      </c>
      <c r="C5" s="8" t="s">
        <v>29</v>
      </c>
      <c r="D5" s="8" t="s">
        <v>30</v>
      </c>
      <c r="E5" s="8" t="s">
        <v>16</v>
      </c>
      <c r="F5" s="14">
        <v>355</v>
      </c>
      <c r="G5" s="22" t="s">
        <v>17</v>
      </c>
      <c r="H5" s="22" t="s">
        <v>18</v>
      </c>
      <c r="I5" s="10"/>
      <c r="J5" s="3" t="s">
        <v>31</v>
      </c>
      <c r="K5" s="27"/>
      <c r="L5" s="28">
        <v>376.12</v>
      </c>
      <c r="M5" s="28" t="s">
        <v>18</v>
      </c>
      <c r="N5"/>
    </row>
    <row r="6" spans="1:15">
      <c r="A6" s="6" t="s">
        <v>24</v>
      </c>
      <c r="B6" s="6" t="s">
        <v>32</v>
      </c>
      <c r="C6" s="6" t="s">
        <v>14</v>
      </c>
      <c r="D6" s="17" t="s">
        <v>33</v>
      </c>
      <c r="E6" s="8" t="s">
        <v>16</v>
      </c>
      <c r="F6" s="14">
        <v>378</v>
      </c>
      <c r="G6" s="22" t="s">
        <v>17</v>
      </c>
      <c r="H6" s="22" t="s">
        <v>18</v>
      </c>
      <c r="I6" s="10"/>
      <c r="J6" s="3" t="s">
        <v>31</v>
      </c>
      <c r="L6" s="28">
        <f>F6*1.07</f>
        <v>404.46000000000004</v>
      </c>
      <c r="M6" s="29" t="s">
        <v>20</v>
      </c>
      <c r="N6"/>
    </row>
    <row r="7" spans="1:15" ht="15.75">
      <c r="A7" s="8" t="s">
        <v>27</v>
      </c>
      <c r="B7" s="8" t="s">
        <v>34</v>
      </c>
      <c r="C7" s="8" t="s">
        <v>29</v>
      </c>
      <c r="D7" s="8" t="s">
        <v>35</v>
      </c>
      <c r="E7" s="7" t="s">
        <v>23</v>
      </c>
      <c r="F7" s="14">
        <v>355</v>
      </c>
      <c r="G7" s="22" t="s">
        <v>17</v>
      </c>
      <c r="H7" s="22" t="s">
        <v>18</v>
      </c>
      <c r="I7" s="10"/>
      <c r="J7" s="3" t="s">
        <v>19</v>
      </c>
      <c r="K7" s="27"/>
      <c r="L7" s="28">
        <v>376.12</v>
      </c>
      <c r="M7" s="28" t="s">
        <v>18</v>
      </c>
      <c r="N7"/>
    </row>
    <row r="8" spans="1:15">
      <c r="A8" s="6" t="s">
        <v>24</v>
      </c>
      <c r="B8" s="6" t="s">
        <v>36</v>
      </c>
      <c r="C8" s="6" t="s">
        <v>14</v>
      </c>
      <c r="D8" s="17" t="s">
        <v>37</v>
      </c>
      <c r="E8" s="8" t="s">
        <v>16</v>
      </c>
      <c r="F8" s="14">
        <v>362</v>
      </c>
      <c r="G8" s="22" t="s">
        <v>17</v>
      </c>
      <c r="H8" s="22" t="s">
        <v>18</v>
      </c>
      <c r="I8" s="10"/>
      <c r="J8" s="3" t="s">
        <v>19</v>
      </c>
      <c r="L8" s="28">
        <f>F8*1.05</f>
        <v>380.1</v>
      </c>
      <c r="M8" s="28" t="s">
        <v>18</v>
      </c>
      <c r="N8"/>
    </row>
    <row r="9" spans="1:15">
      <c r="A9" s="8" t="s">
        <v>27</v>
      </c>
      <c r="B9" s="8" t="s">
        <v>38</v>
      </c>
      <c r="C9" s="8" t="s">
        <v>29</v>
      </c>
      <c r="D9" s="8" t="s">
        <v>39</v>
      </c>
      <c r="E9" s="7" t="s">
        <v>23</v>
      </c>
      <c r="F9" s="14">
        <v>355</v>
      </c>
      <c r="G9" s="22" t="s">
        <v>17</v>
      </c>
      <c r="H9" s="22" t="s">
        <v>18</v>
      </c>
      <c r="I9" s="10"/>
      <c r="J9" s="3" t="s">
        <v>19</v>
      </c>
      <c r="K9" s="27"/>
      <c r="L9" s="28">
        <v>376.12</v>
      </c>
      <c r="M9" s="28" t="s">
        <v>18</v>
      </c>
      <c r="N9"/>
    </row>
    <row r="10" spans="1:15">
      <c r="A10" s="8" t="s">
        <v>27</v>
      </c>
      <c r="B10" s="8" t="s">
        <v>34</v>
      </c>
      <c r="C10" s="8" t="s">
        <v>29</v>
      </c>
      <c r="D10" s="8" t="s">
        <v>40</v>
      </c>
      <c r="E10" s="8" t="s">
        <v>16</v>
      </c>
      <c r="F10" s="14">
        <v>355</v>
      </c>
      <c r="G10" s="22" t="s">
        <v>17</v>
      </c>
      <c r="H10" s="22" t="s">
        <v>18</v>
      </c>
      <c r="I10" s="10"/>
      <c r="J10" s="3" t="s">
        <v>19</v>
      </c>
      <c r="K10" s="27"/>
      <c r="L10" s="28">
        <v>376.12</v>
      </c>
      <c r="M10" s="28" t="s">
        <v>18</v>
      </c>
      <c r="N10"/>
    </row>
    <row r="11" spans="1:15">
      <c r="A11" s="8" t="s">
        <v>27</v>
      </c>
      <c r="B11" s="8" t="s">
        <v>34</v>
      </c>
      <c r="C11" s="8" t="s">
        <v>29</v>
      </c>
      <c r="D11" s="8" t="s">
        <v>41</v>
      </c>
      <c r="E11" s="8" t="s">
        <v>16</v>
      </c>
      <c r="F11" s="14">
        <v>355</v>
      </c>
      <c r="G11" s="22" t="s">
        <v>17</v>
      </c>
      <c r="H11" s="22" t="s">
        <v>18</v>
      </c>
      <c r="I11" s="10"/>
      <c r="J11" s="3" t="s">
        <v>19</v>
      </c>
      <c r="K11" s="27"/>
      <c r="L11" s="28">
        <v>376.12</v>
      </c>
      <c r="M11" s="28" t="s">
        <v>18</v>
      </c>
      <c r="N11"/>
    </row>
    <row r="12" spans="1:15">
      <c r="A12" s="6" t="s">
        <v>12</v>
      </c>
      <c r="B12" s="6" t="s">
        <v>13</v>
      </c>
      <c r="C12" s="6" t="s">
        <v>14</v>
      </c>
      <c r="D12" s="7" t="s">
        <v>42</v>
      </c>
      <c r="E12" s="11" t="s">
        <v>16</v>
      </c>
      <c r="F12" s="14">
        <v>396.5</v>
      </c>
      <c r="G12" s="9" t="s">
        <v>17</v>
      </c>
      <c r="H12" s="9" t="s">
        <v>18</v>
      </c>
      <c r="I12" s="10"/>
      <c r="J12" s="3" t="s">
        <v>19</v>
      </c>
      <c r="L12" s="3">
        <v>420.43</v>
      </c>
      <c r="M12" s="36" t="s">
        <v>20</v>
      </c>
      <c r="N12" s="35">
        <f>(L12-F12)/F12</f>
        <v>6.035308953341742E-2</v>
      </c>
    </row>
    <row r="13" spans="1:15">
      <c r="A13" s="6" t="s">
        <v>24</v>
      </c>
      <c r="B13" s="6" t="s">
        <v>32</v>
      </c>
      <c r="C13" s="6" t="s">
        <v>14</v>
      </c>
      <c r="D13" s="17" t="s">
        <v>43</v>
      </c>
      <c r="E13" s="12" t="s">
        <v>44</v>
      </c>
      <c r="F13" s="14">
        <v>378</v>
      </c>
      <c r="G13" s="22" t="s">
        <v>17</v>
      </c>
      <c r="H13" s="22" t="s">
        <v>18</v>
      </c>
      <c r="I13" s="10"/>
      <c r="J13" s="3" t="s">
        <v>19</v>
      </c>
      <c r="L13" s="28">
        <f>F13*1.07</f>
        <v>404.46000000000004</v>
      </c>
      <c r="M13" s="29" t="s">
        <v>20</v>
      </c>
      <c r="N13"/>
    </row>
    <row r="14" spans="1:15">
      <c r="A14" s="8" t="s">
        <v>27</v>
      </c>
      <c r="B14" s="8" t="s">
        <v>34</v>
      </c>
      <c r="C14" s="8" t="s">
        <v>29</v>
      </c>
      <c r="D14" s="8" t="s">
        <v>45</v>
      </c>
      <c r="E14" s="8" t="s">
        <v>16</v>
      </c>
      <c r="F14" s="14">
        <v>355</v>
      </c>
      <c r="G14" s="15" t="s">
        <v>17</v>
      </c>
      <c r="H14" s="15" t="s">
        <v>18</v>
      </c>
      <c r="I14" s="10"/>
      <c r="J14" s="3" t="s">
        <v>19</v>
      </c>
      <c r="K14" s="27"/>
      <c r="L14" s="28">
        <v>376.12</v>
      </c>
      <c r="M14" s="28" t="s">
        <v>18</v>
      </c>
      <c r="N14"/>
    </row>
    <row r="15" spans="1:15">
      <c r="A15" s="8" t="s">
        <v>27</v>
      </c>
      <c r="B15" s="8" t="s">
        <v>46</v>
      </c>
      <c r="C15" s="8" t="s">
        <v>29</v>
      </c>
      <c r="D15" s="8" t="s">
        <v>47</v>
      </c>
      <c r="E15" s="7" t="s">
        <v>44</v>
      </c>
      <c r="F15" s="16">
        <v>355</v>
      </c>
      <c r="G15" s="15" t="s">
        <v>17</v>
      </c>
      <c r="H15" s="15" t="s">
        <v>18</v>
      </c>
      <c r="I15" s="10"/>
      <c r="J15" s="3" t="s">
        <v>19</v>
      </c>
      <c r="K15" s="27"/>
      <c r="L15" s="28">
        <v>376.12</v>
      </c>
      <c r="M15" s="28" t="s">
        <v>18</v>
      </c>
      <c r="N15"/>
    </row>
    <row r="16" spans="1:15">
      <c r="A16" s="8" t="s">
        <v>27</v>
      </c>
      <c r="B16" s="8" t="s">
        <v>46</v>
      </c>
      <c r="C16" s="8" t="s">
        <v>29</v>
      </c>
      <c r="D16" s="8" t="s">
        <v>48</v>
      </c>
      <c r="E16" s="12" t="s">
        <v>44</v>
      </c>
      <c r="F16" s="16">
        <v>355</v>
      </c>
      <c r="G16" s="15" t="s">
        <v>17</v>
      </c>
      <c r="H16" s="15" t="s">
        <v>18</v>
      </c>
      <c r="I16" s="10"/>
      <c r="J16" s="3" t="s">
        <v>19</v>
      </c>
      <c r="K16" s="27"/>
      <c r="L16" s="28">
        <v>376.12</v>
      </c>
      <c r="M16" s="28" t="s">
        <v>18</v>
      </c>
      <c r="N16"/>
    </row>
    <row r="17" spans="1:14">
      <c r="A17" s="6" t="s">
        <v>24</v>
      </c>
      <c r="B17" s="6" t="s">
        <v>36</v>
      </c>
      <c r="C17" s="6" t="s">
        <v>14</v>
      </c>
      <c r="D17" s="17" t="s">
        <v>49</v>
      </c>
      <c r="E17" s="7" t="s">
        <v>44</v>
      </c>
      <c r="F17" s="14">
        <v>395</v>
      </c>
      <c r="G17" s="15" t="s">
        <v>17</v>
      </c>
      <c r="H17" s="15" t="s">
        <v>18</v>
      </c>
      <c r="I17" s="10"/>
      <c r="J17" s="3" t="s">
        <v>19</v>
      </c>
      <c r="L17" s="28">
        <f>F17*1.05</f>
        <v>414.75</v>
      </c>
      <c r="M17" s="29" t="s">
        <v>20</v>
      </c>
      <c r="N17"/>
    </row>
    <row r="18" spans="1:14">
      <c r="A18" s="8" t="s">
        <v>27</v>
      </c>
      <c r="B18" s="8" t="s">
        <v>34</v>
      </c>
      <c r="C18" s="8" t="s">
        <v>29</v>
      </c>
      <c r="D18" s="8" t="s">
        <v>50</v>
      </c>
      <c r="E18" s="8" t="s">
        <v>16</v>
      </c>
      <c r="F18" s="16">
        <v>355</v>
      </c>
      <c r="G18" s="15" t="s">
        <v>17</v>
      </c>
      <c r="H18" s="15" t="s">
        <v>18</v>
      </c>
      <c r="I18" s="10"/>
      <c r="J18" s="3" t="s">
        <v>19</v>
      </c>
      <c r="K18" s="27"/>
      <c r="L18" s="28">
        <v>376.12</v>
      </c>
      <c r="M18" s="28" t="s">
        <v>18</v>
      </c>
      <c r="N18"/>
    </row>
    <row r="19" spans="1:14">
      <c r="A19" s="6" t="s">
        <v>12</v>
      </c>
      <c r="B19" s="6" t="s">
        <v>51</v>
      </c>
      <c r="C19" s="6" t="s">
        <v>14</v>
      </c>
      <c r="D19" s="6" t="s">
        <v>52</v>
      </c>
      <c r="E19" s="8" t="s">
        <v>16</v>
      </c>
      <c r="F19" s="9">
        <v>411</v>
      </c>
      <c r="G19" s="13" t="s">
        <v>53</v>
      </c>
      <c r="H19" s="13" t="s">
        <v>20</v>
      </c>
      <c r="I19" s="10"/>
      <c r="J19" s="3" t="s">
        <v>19</v>
      </c>
      <c r="L19" s="3">
        <v>411</v>
      </c>
      <c r="M19" s="36" t="s">
        <v>20</v>
      </c>
      <c r="N19" s="35">
        <f t="shared" ref="N19:N20" si="0">(L19-F19)/F19</f>
        <v>0</v>
      </c>
    </row>
    <row r="20" spans="1:14">
      <c r="A20" s="6" t="s">
        <v>12</v>
      </c>
      <c r="B20" s="6" t="s">
        <v>54</v>
      </c>
      <c r="C20" s="6" t="s">
        <v>14</v>
      </c>
      <c r="D20" s="7" t="s">
        <v>55</v>
      </c>
      <c r="E20" s="7" t="s">
        <v>44</v>
      </c>
      <c r="F20" s="9">
        <v>390</v>
      </c>
      <c r="G20" s="13" t="s">
        <v>17</v>
      </c>
      <c r="H20" s="13" t="s">
        <v>18</v>
      </c>
      <c r="I20" s="10"/>
      <c r="J20" s="3" t="s">
        <v>19</v>
      </c>
      <c r="K20" s="4"/>
      <c r="L20" s="3">
        <v>413.49</v>
      </c>
      <c r="M20" s="36" t="s">
        <v>20</v>
      </c>
      <c r="N20" s="35">
        <f t="shared" si="0"/>
        <v>6.0230769230769254E-2</v>
      </c>
    </row>
    <row r="21" spans="1:14">
      <c r="A21" s="6" t="s">
        <v>24</v>
      </c>
      <c r="B21" s="6" t="s">
        <v>32</v>
      </c>
      <c r="C21" s="6" t="s">
        <v>14</v>
      </c>
      <c r="D21" s="17" t="s">
        <v>56</v>
      </c>
      <c r="E21" s="8" t="s">
        <v>16</v>
      </c>
      <c r="F21" s="14">
        <v>378</v>
      </c>
      <c r="G21" s="15" t="s">
        <v>17</v>
      </c>
      <c r="H21" s="15" t="s">
        <v>18</v>
      </c>
      <c r="I21" s="10"/>
      <c r="J21" s="3"/>
      <c r="L21" s="28">
        <f>F21*1.07</f>
        <v>404.46000000000004</v>
      </c>
      <c r="M21" s="29" t="s">
        <v>20</v>
      </c>
      <c r="N21"/>
    </row>
    <row r="22" spans="1:14">
      <c r="A22" s="8" t="s">
        <v>27</v>
      </c>
      <c r="B22" s="8" t="s">
        <v>46</v>
      </c>
      <c r="C22" s="8" t="s">
        <v>29</v>
      </c>
      <c r="D22" s="8" t="s">
        <v>57</v>
      </c>
      <c r="E22" s="8" t="s">
        <v>16</v>
      </c>
      <c r="F22" s="16">
        <v>355</v>
      </c>
      <c r="G22" s="15" t="s">
        <v>17</v>
      </c>
      <c r="H22" s="15" t="s">
        <v>18</v>
      </c>
      <c r="I22" s="10"/>
      <c r="J22" s="3" t="s">
        <v>19</v>
      </c>
      <c r="K22" s="27"/>
      <c r="L22" s="28">
        <v>376.12</v>
      </c>
      <c r="M22" s="28" t="s">
        <v>18</v>
      </c>
      <c r="N22"/>
    </row>
    <row r="23" spans="1:14">
      <c r="A23" s="6" t="s">
        <v>24</v>
      </c>
      <c r="B23" s="6" t="s">
        <v>58</v>
      </c>
      <c r="C23" s="6" t="s">
        <v>14</v>
      </c>
      <c r="D23" s="17" t="s">
        <v>59</v>
      </c>
      <c r="E23" s="8" t="s">
        <v>16</v>
      </c>
      <c r="F23" s="16">
        <v>369</v>
      </c>
      <c r="G23" s="15" t="s">
        <v>17</v>
      </c>
      <c r="H23" s="15" t="s">
        <v>18</v>
      </c>
      <c r="I23" s="10"/>
      <c r="J23" s="3" t="s">
        <v>19</v>
      </c>
      <c r="L23" s="28">
        <f>F23*1.05</f>
        <v>387.45</v>
      </c>
      <c r="M23" s="28" t="s">
        <v>18</v>
      </c>
      <c r="N23"/>
    </row>
    <row r="24" spans="1:14">
      <c r="A24" s="8" t="s">
        <v>27</v>
      </c>
      <c r="B24" s="8" t="s">
        <v>46</v>
      </c>
      <c r="C24" s="8" t="s">
        <v>29</v>
      </c>
      <c r="D24" s="8" t="s">
        <v>60</v>
      </c>
      <c r="E24" s="8" t="s">
        <v>16</v>
      </c>
      <c r="F24" s="16">
        <v>355</v>
      </c>
      <c r="G24" s="15" t="s">
        <v>17</v>
      </c>
      <c r="H24" s="15" t="s">
        <v>18</v>
      </c>
      <c r="I24" s="10"/>
      <c r="J24" s="3"/>
      <c r="K24" s="27"/>
      <c r="L24" s="28">
        <v>376.12</v>
      </c>
      <c r="M24" s="28" t="s">
        <v>18</v>
      </c>
      <c r="N24"/>
    </row>
    <row r="25" spans="1:14">
      <c r="A25" s="6" t="s">
        <v>24</v>
      </c>
      <c r="B25" s="6" t="s">
        <v>32</v>
      </c>
      <c r="C25" s="6" t="s">
        <v>14</v>
      </c>
      <c r="D25" s="17" t="s">
        <v>61</v>
      </c>
      <c r="E25" s="7" t="s">
        <v>44</v>
      </c>
      <c r="F25" s="16">
        <v>384</v>
      </c>
      <c r="G25" s="15" t="s">
        <v>17</v>
      </c>
      <c r="H25" s="15" t="s">
        <v>18</v>
      </c>
      <c r="I25" s="10"/>
      <c r="J25" s="3" t="s">
        <v>19</v>
      </c>
      <c r="L25" s="28">
        <f>F25*1.07</f>
        <v>410.88</v>
      </c>
      <c r="M25" s="29" t="s">
        <v>20</v>
      </c>
      <c r="N25"/>
    </row>
    <row r="26" spans="1:14">
      <c r="A26" s="6" t="s">
        <v>24</v>
      </c>
      <c r="B26" s="6" t="s">
        <v>62</v>
      </c>
      <c r="C26" s="6" t="s">
        <v>14</v>
      </c>
      <c r="D26" s="17" t="s">
        <v>63</v>
      </c>
      <c r="E26" s="8" t="s">
        <v>16</v>
      </c>
      <c r="F26" s="16">
        <v>387</v>
      </c>
      <c r="G26" s="15" t="s">
        <v>17</v>
      </c>
      <c r="H26" s="15" t="s">
        <v>18</v>
      </c>
      <c r="I26" s="10"/>
      <c r="J26" s="3" t="s">
        <v>19</v>
      </c>
      <c r="L26" s="28">
        <f>F26*1.05</f>
        <v>406.35</v>
      </c>
      <c r="M26" s="29" t="s">
        <v>20</v>
      </c>
      <c r="N26"/>
    </row>
    <row r="27" spans="1:14">
      <c r="A27" s="6" t="s">
        <v>24</v>
      </c>
      <c r="B27" s="6" t="s">
        <v>25</v>
      </c>
      <c r="C27" s="6" t="s">
        <v>14</v>
      </c>
      <c r="D27" s="10" t="s">
        <v>64</v>
      </c>
      <c r="E27" s="17" t="s">
        <v>16</v>
      </c>
      <c r="F27" s="16">
        <v>378</v>
      </c>
      <c r="G27" s="15" t="s">
        <v>17</v>
      </c>
      <c r="H27" s="15" t="s">
        <v>18</v>
      </c>
      <c r="I27" s="10"/>
      <c r="J27" s="3" t="s">
        <v>19</v>
      </c>
      <c r="L27" s="28">
        <f>F27*1.05</f>
        <v>396.90000000000003</v>
      </c>
      <c r="M27" s="28" t="s">
        <v>18</v>
      </c>
      <c r="N27"/>
    </row>
    <row r="28" spans="1:14">
      <c r="A28" s="6" t="s">
        <v>24</v>
      </c>
      <c r="B28" s="6" t="s">
        <v>32</v>
      </c>
      <c r="C28" s="6" t="s">
        <v>65</v>
      </c>
      <c r="D28" s="10" t="s">
        <v>66</v>
      </c>
      <c r="E28" s="7" t="s">
        <v>44</v>
      </c>
      <c r="F28" s="16">
        <v>384</v>
      </c>
      <c r="G28" s="15" t="s">
        <v>17</v>
      </c>
      <c r="H28" s="15" t="s">
        <v>18</v>
      </c>
      <c r="I28" s="10"/>
      <c r="J28" s="3"/>
      <c r="L28" s="28">
        <f>F28*1.07</f>
        <v>410.88</v>
      </c>
      <c r="M28" s="29" t="s">
        <v>20</v>
      </c>
      <c r="N28"/>
    </row>
    <row r="29" spans="1:14">
      <c r="A29" s="6" t="s">
        <v>12</v>
      </c>
      <c r="B29" s="6" t="s">
        <v>54</v>
      </c>
      <c r="C29" s="6" t="s">
        <v>14</v>
      </c>
      <c r="D29" s="6" t="s">
        <v>67</v>
      </c>
      <c r="E29" s="11" t="s">
        <v>16</v>
      </c>
      <c r="F29" s="13">
        <v>387.5</v>
      </c>
      <c r="G29" s="13" t="s">
        <v>17</v>
      </c>
      <c r="H29" s="13" t="s">
        <v>18</v>
      </c>
      <c r="I29" s="10"/>
      <c r="J29" s="3" t="s">
        <v>19</v>
      </c>
      <c r="L29" s="3">
        <v>410.84</v>
      </c>
      <c r="M29" s="36" t="s">
        <v>20</v>
      </c>
      <c r="N29" s="35">
        <f t="shared" ref="N29:N30" si="1">(L29-F29)/F29</f>
        <v>6.0232258064516063E-2</v>
      </c>
    </row>
    <row r="30" spans="1:14">
      <c r="A30" s="6" t="s">
        <v>12</v>
      </c>
      <c r="B30" s="6" t="s">
        <v>54</v>
      </c>
      <c r="C30" s="6" t="s">
        <v>14</v>
      </c>
      <c r="D30" s="6" t="s">
        <v>68</v>
      </c>
      <c r="E30" s="8" t="s">
        <v>16</v>
      </c>
      <c r="F30" s="13">
        <v>387.5</v>
      </c>
      <c r="G30" s="13" t="s">
        <v>17</v>
      </c>
      <c r="H30" s="13" t="s">
        <v>18</v>
      </c>
      <c r="I30" s="10"/>
      <c r="J30" s="3" t="s">
        <v>19</v>
      </c>
      <c r="L30" s="3">
        <v>410.84</v>
      </c>
      <c r="M30" s="36" t="s">
        <v>20</v>
      </c>
      <c r="N30" s="35">
        <f t="shared" si="1"/>
        <v>6.0232258064516063E-2</v>
      </c>
    </row>
    <row r="31" spans="1:14">
      <c r="A31" s="6" t="s">
        <v>24</v>
      </c>
      <c r="B31" s="6" t="s">
        <v>36</v>
      </c>
      <c r="C31" s="6" t="s">
        <v>14</v>
      </c>
      <c r="D31" s="17" t="s">
        <v>69</v>
      </c>
      <c r="E31" s="8" t="s">
        <v>16</v>
      </c>
      <c r="F31" s="16">
        <v>368</v>
      </c>
      <c r="G31" s="15" t="s">
        <v>17</v>
      </c>
      <c r="H31" s="15" t="s">
        <v>18</v>
      </c>
      <c r="I31" s="10"/>
      <c r="J31" s="3"/>
      <c r="L31" s="28">
        <f>F31*1.05</f>
        <v>386.40000000000003</v>
      </c>
      <c r="M31" s="28" t="s">
        <v>18</v>
      </c>
      <c r="N31"/>
    </row>
    <row r="32" spans="1:14">
      <c r="A32" s="8" t="s">
        <v>27</v>
      </c>
      <c r="B32" s="8" t="s">
        <v>34</v>
      </c>
      <c r="C32" s="8" t="s">
        <v>29</v>
      </c>
      <c r="D32" s="8" t="s">
        <v>70</v>
      </c>
      <c r="E32" s="8" t="s">
        <v>16</v>
      </c>
      <c r="F32" s="16">
        <v>355</v>
      </c>
      <c r="G32" s="15" t="s">
        <v>17</v>
      </c>
      <c r="H32" s="15" t="s">
        <v>18</v>
      </c>
      <c r="I32" s="10"/>
      <c r="J32" s="3"/>
      <c r="K32" s="27"/>
      <c r="L32" s="28">
        <v>376.12</v>
      </c>
      <c r="M32" s="28" t="s">
        <v>18</v>
      </c>
      <c r="N32"/>
    </row>
    <row r="33" spans="1:14">
      <c r="A33" s="6" t="s">
        <v>71</v>
      </c>
      <c r="B33" s="6" t="s">
        <v>72</v>
      </c>
      <c r="C33" s="6" t="s">
        <v>14</v>
      </c>
      <c r="D33" s="10" t="s">
        <v>73</v>
      </c>
      <c r="E33" s="17" t="s">
        <v>16</v>
      </c>
      <c r="F33" s="16">
        <v>440</v>
      </c>
      <c r="G33" s="15" t="s">
        <v>53</v>
      </c>
      <c r="H33" s="15" t="s">
        <v>20</v>
      </c>
      <c r="I33" s="10"/>
      <c r="J33" s="3" t="s">
        <v>19</v>
      </c>
      <c r="L33" s="28"/>
      <c r="M33" s="28"/>
      <c r="N33"/>
    </row>
    <row r="34" spans="1:14">
      <c r="A34" s="6" t="s">
        <v>74</v>
      </c>
      <c r="B34" s="6" t="s">
        <v>75</v>
      </c>
      <c r="C34" s="6" t="s">
        <v>14</v>
      </c>
      <c r="D34" s="6" t="s">
        <v>76</v>
      </c>
      <c r="E34" s="8" t="s">
        <v>16</v>
      </c>
      <c r="F34" s="13">
        <v>437.26</v>
      </c>
      <c r="G34" s="13" t="s">
        <v>53</v>
      </c>
      <c r="H34" s="13" t="s">
        <v>20</v>
      </c>
      <c r="I34" s="10"/>
      <c r="J34" s="3" t="s">
        <v>19</v>
      </c>
      <c r="L34" s="28"/>
      <c r="M34" s="28"/>
      <c r="N34"/>
    </row>
    <row r="35" spans="1:14">
      <c r="A35" s="6" t="s">
        <v>12</v>
      </c>
      <c r="B35" s="6" t="s">
        <v>51</v>
      </c>
      <c r="C35" s="6" t="s">
        <v>14</v>
      </c>
      <c r="D35" s="6" t="s">
        <v>77</v>
      </c>
      <c r="E35" s="6" t="s">
        <v>16</v>
      </c>
      <c r="F35" s="13">
        <v>428.5</v>
      </c>
      <c r="G35" s="13" t="s">
        <v>53</v>
      </c>
      <c r="H35" s="13" t="s">
        <v>20</v>
      </c>
      <c r="I35" s="10"/>
      <c r="J35" s="3" t="s">
        <v>19</v>
      </c>
      <c r="L35" s="3">
        <v>436</v>
      </c>
      <c r="M35" s="3" t="s">
        <v>20</v>
      </c>
      <c r="N35" s="35">
        <f t="shared" ref="N35:N37" si="2">(L35-F35)/F35</f>
        <v>1.7502917152858809E-2</v>
      </c>
    </row>
    <row r="36" spans="1:14">
      <c r="A36" s="6" t="s">
        <v>12</v>
      </c>
      <c r="B36" s="6" t="s">
        <v>51</v>
      </c>
      <c r="C36" s="6" t="s">
        <v>14</v>
      </c>
      <c r="D36" s="6" t="s">
        <v>78</v>
      </c>
      <c r="E36" s="24" t="s">
        <v>16</v>
      </c>
      <c r="F36" s="13">
        <v>428.5</v>
      </c>
      <c r="G36" s="13" t="s">
        <v>53</v>
      </c>
      <c r="H36" s="13" t="s">
        <v>20</v>
      </c>
      <c r="I36" s="10"/>
      <c r="J36" s="3"/>
      <c r="L36" s="3">
        <v>436</v>
      </c>
      <c r="M36" s="3" t="s">
        <v>20</v>
      </c>
      <c r="N36" s="35">
        <f t="shared" si="2"/>
        <v>1.7502917152858809E-2</v>
      </c>
    </row>
    <row r="37" spans="1:14">
      <c r="A37" s="6" t="s">
        <v>12</v>
      </c>
      <c r="B37" s="6" t="s">
        <v>54</v>
      </c>
      <c r="C37" s="6" t="s">
        <v>14</v>
      </c>
      <c r="D37" s="6" t="s">
        <v>79</v>
      </c>
      <c r="E37" s="11" t="s">
        <v>16</v>
      </c>
      <c r="F37" s="13">
        <v>407.5</v>
      </c>
      <c r="G37" s="13" t="s">
        <v>53</v>
      </c>
      <c r="H37" s="13" t="s">
        <v>20</v>
      </c>
      <c r="I37" s="10"/>
      <c r="J37" s="3" t="s">
        <v>19</v>
      </c>
      <c r="L37" s="3">
        <v>431.85</v>
      </c>
      <c r="M37" s="3" t="s">
        <v>20</v>
      </c>
      <c r="N37" s="35">
        <f t="shared" si="2"/>
        <v>5.9754601226993921E-2</v>
      </c>
    </row>
    <row r="38" spans="1:14">
      <c r="A38" s="6" t="s">
        <v>80</v>
      </c>
      <c r="B38" s="6" t="s">
        <v>81</v>
      </c>
      <c r="C38" s="6" t="s">
        <v>14</v>
      </c>
      <c r="D38" s="10" t="s">
        <v>82</v>
      </c>
      <c r="E38" s="17" t="s">
        <v>16</v>
      </c>
      <c r="F38" s="16">
        <v>425.25</v>
      </c>
      <c r="G38" s="15" t="s">
        <v>53</v>
      </c>
      <c r="H38" s="15" t="s">
        <v>20</v>
      </c>
      <c r="I38" s="10"/>
      <c r="J38" s="3" t="s">
        <v>19</v>
      </c>
      <c r="L38" s="28"/>
      <c r="M38" s="28"/>
      <c r="N38"/>
    </row>
    <row r="39" spans="1:14">
      <c r="A39" s="6" t="s">
        <v>80</v>
      </c>
      <c r="B39" s="6" t="s">
        <v>81</v>
      </c>
      <c r="C39" s="6" t="s">
        <v>14</v>
      </c>
      <c r="D39" s="10" t="s">
        <v>83</v>
      </c>
      <c r="E39" s="17" t="s">
        <v>16</v>
      </c>
      <c r="F39" s="16">
        <v>425.25</v>
      </c>
      <c r="G39" s="15" t="s">
        <v>53</v>
      </c>
      <c r="H39" s="15" t="s">
        <v>20</v>
      </c>
      <c r="I39" s="10"/>
      <c r="J39" s="3" t="s">
        <v>19</v>
      </c>
      <c r="L39" s="28"/>
      <c r="M39" s="28"/>
      <c r="N39"/>
    </row>
    <row r="40" spans="1:14">
      <c r="A40" s="6" t="s">
        <v>24</v>
      </c>
      <c r="B40" s="6" t="s">
        <v>62</v>
      </c>
      <c r="C40" s="6" t="s">
        <v>14</v>
      </c>
      <c r="D40" s="10" t="s">
        <v>84</v>
      </c>
      <c r="E40" s="8" t="s">
        <v>16</v>
      </c>
      <c r="F40" s="16">
        <v>408</v>
      </c>
      <c r="G40" s="15" t="s">
        <v>53</v>
      </c>
      <c r="H40" s="15" t="s">
        <v>20</v>
      </c>
      <c r="I40" s="10"/>
      <c r="J40" s="3" t="s">
        <v>19</v>
      </c>
      <c r="L40" s="28">
        <f>F40*1.05</f>
        <v>428.40000000000003</v>
      </c>
      <c r="M40" s="28" t="s">
        <v>20</v>
      </c>
      <c r="N40"/>
    </row>
    <row r="41" spans="1:14">
      <c r="A41" s="6" t="s">
        <v>24</v>
      </c>
      <c r="B41" s="6" t="s">
        <v>85</v>
      </c>
      <c r="C41" s="6" t="s">
        <v>65</v>
      </c>
      <c r="D41" s="17" t="s">
        <v>86</v>
      </c>
      <c r="E41" s="8" t="s">
        <v>16</v>
      </c>
      <c r="F41" s="16">
        <v>448</v>
      </c>
      <c r="G41" s="15" t="s">
        <v>53</v>
      </c>
      <c r="H41" s="15" t="s">
        <v>20</v>
      </c>
      <c r="I41" s="10"/>
      <c r="J41" s="3" t="s">
        <v>31</v>
      </c>
      <c r="L41" s="28">
        <f>F41*1.07</f>
        <v>479.36</v>
      </c>
      <c r="M41" s="29" t="s">
        <v>87</v>
      </c>
      <c r="N41"/>
    </row>
    <row r="42" spans="1:14">
      <c r="A42" s="6" t="s">
        <v>74</v>
      </c>
      <c r="B42" s="6" t="s">
        <v>75</v>
      </c>
      <c r="C42" s="6" t="s">
        <v>14</v>
      </c>
      <c r="D42" s="6" t="s">
        <v>88</v>
      </c>
      <c r="E42" s="8" t="s">
        <v>16</v>
      </c>
      <c r="F42" s="13">
        <v>437.26</v>
      </c>
      <c r="G42" s="13" t="s">
        <v>53</v>
      </c>
      <c r="H42" s="13" t="s">
        <v>20</v>
      </c>
      <c r="I42" s="10"/>
      <c r="J42" s="3" t="s">
        <v>31</v>
      </c>
      <c r="L42" s="28"/>
      <c r="M42" s="28"/>
      <c r="N42"/>
    </row>
    <row r="43" spans="1:14">
      <c r="A43" s="6" t="s">
        <v>74</v>
      </c>
      <c r="B43" s="6" t="s">
        <v>89</v>
      </c>
      <c r="C43" s="6" t="s">
        <v>14</v>
      </c>
      <c r="D43" s="6" t="s">
        <v>90</v>
      </c>
      <c r="E43" s="8" t="s">
        <v>16</v>
      </c>
      <c r="F43" s="13">
        <v>437.94</v>
      </c>
      <c r="G43" s="13" t="s">
        <v>53</v>
      </c>
      <c r="H43" s="13" t="s">
        <v>20</v>
      </c>
      <c r="I43" s="10"/>
      <c r="J43" s="3" t="s">
        <v>19</v>
      </c>
      <c r="L43" s="28"/>
      <c r="M43" s="28"/>
      <c r="N43"/>
    </row>
    <row r="44" spans="1:14">
      <c r="A44" s="6" t="s">
        <v>74</v>
      </c>
      <c r="B44" s="6" t="s">
        <v>89</v>
      </c>
      <c r="C44" s="6" t="s">
        <v>14</v>
      </c>
      <c r="D44" s="6" t="s">
        <v>91</v>
      </c>
      <c r="E44" s="8" t="s">
        <v>16</v>
      </c>
      <c r="F44" s="13">
        <v>439.39</v>
      </c>
      <c r="G44" s="13" t="s">
        <v>53</v>
      </c>
      <c r="H44" s="13" t="s">
        <v>20</v>
      </c>
      <c r="I44" s="10"/>
      <c r="J44" s="3" t="s">
        <v>19</v>
      </c>
      <c r="L44" s="28"/>
      <c r="M44" s="28"/>
      <c r="N44"/>
    </row>
    <row r="45" spans="1:14">
      <c r="A45" s="6" t="s">
        <v>24</v>
      </c>
      <c r="B45" s="6" t="s">
        <v>92</v>
      </c>
      <c r="C45" s="6" t="s">
        <v>65</v>
      </c>
      <c r="D45" s="17" t="s">
        <v>93</v>
      </c>
      <c r="E45" s="8" t="s">
        <v>16</v>
      </c>
      <c r="F45" s="16">
        <v>413</v>
      </c>
      <c r="G45" s="15" t="s">
        <v>53</v>
      </c>
      <c r="H45" s="15" t="s">
        <v>20</v>
      </c>
      <c r="I45" s="10"/>
      <c r="J45" s="3" t="s">
        <v>19</v>
      </c>
      <c r="L45" s="28">
        <f>F45*1.07</f>
        <v>441.91</v>
      </c>
      <c r="M45" s="28" t="s">
        <v>20</v>
      </c>
      <c r="N45"/>
    </row>
    <row r="46" spans="1:14">
      <c r="A46" s="6" t="s">
        <v>24</v>
      </c>
      <c r="B46" s="6" t="s">
        <v>92</v>
      </c>
      <c r="C46" s="6" t="s">
        <v>65</v>
      </c>
      <c r="D46" s="17" t="s">
        <v>94</v>
      </c>
      <c r="E46" s="11" t="s">
        <v>16</v>
      </c>
      <c r="F46" s="16">
        <v>413</v>
      </c>
      <c r="G46" s="15" t="s">
        <v>53</v>
      </c>
      <c r="H46" s="15" t="s">
        <v>20</v>
      </c>
      <c r="I46" s="10"/>
      <c r="J46" s="3" t="s">
        <v>19</v>
      </c>
      <c r="L46" s="28">
        <f>F46*1.07</f>
        <v>441.91</v>
      </c>
      <c r="M46" s="28" t="s">
        <v>20</v>
      </c>
      <c r="N46"/>
    </row>
    <row r="47" spans="1:14">
      <c r="A47" s="6" t="s">
        <v>74</v>
      </c>
      <c r="B47" s="6" t="s">
        <v>89</v>
      </c>
      <c r="C47" s="6" t="s">
        <v>14</v>
      </c>
      <c r="D47" s="6" t="s">
        <v>95</v>
      </c>
      <c r="E47" s="8" t="s">
        <v>16</v>
      </c>
      <c r="F47" s="13">
        <v>437.94</v>
      </c>
      <c r="G47" s="13" t="s">
        <v>53</v>
      </c>
      <c r="H47" s="13" t="s">
        <v>20</v>
      </c>
      <c r="I47" s="10"/>
      <c r="J47" s="3"/>
      <c r="L47" s="28"/>
      <c r="M47" s="28"/>
      <c r="N47"/>
    </row>
    <row r="48" spans="1:14">
      <c r="A48" s="6" t="s">
        <v>24</v>
      </c>
      <c r="B48" s="6" t="s">
        <v>62</v>
      </c>
      <c r="C48" s="6" t="s">
        <v>14</v>
      </c>
      <c r="D48" s="17" t="s">
        <v>96</v>
      </c>
      <c r="E48" s="11" t="s">
        <v>16</v>
      </c>
      <c r="F48" s="16">
        <v>408</v>
      </c>
      <c r="G48" s="15" t="s">
        <v>53</v>
      </c>
      <c r="H48" s="15" t="s">
        <v>20</v>
      </c>
      <c r="I48" s="10"/>
      <c r="J48" s="3" t="s">
        <v>19</v>
      </c>
      <c r="L48" s="28">
        <f>F48*1.05</f>
        <v>428.40000000000003</v>
      </c>
      <c r="M48" s="28" t="s">
        <v>20</v>
      </c>
      <c r="N48"/>
    </row>
    <row r="49" spans="1:14">
      <c r="A49" s="6" t="s">
        <v>12</v>
      </c>
      <c r="B49" s="6" t="s">
        <v>97</v>
      </c>
      <c r="C49" s="6" t="s">
        <v>14</v>
      </c>
      <c r="D49" s="7" t="s">
        <v>98</v>
      </c>
      <c r="E49" s="8" t="s">
        <v>16</v>
      </c>
      <c r="F49" s="13">
        <v>437</v>
      </c>
      <c r="G49" s="13" t="s">
        <v>53</v>
      </c>
      <c r="H49" s="13" t="s">
        <v>20</v>
      </c>
      <c r="I49" s="10"/>
      <c r="J49" s="3" t="s">
        <v>19</v>
      </c>
      <c r="L49" s="3">
        <v>458.98</v>
      </c>
      <c r="M49" s="36" t="s">
        <v>87</v>
      </c>
      <c r="N49" s="35">
        <f t="shared" ref="N49:N52" si="3">(L49-F49)/F49</f>
        <v>5.0297482837528648E-2</v>
      </c>
    </row>
    <row r="50" spans="1:14">
      <c r="A50" s="6" t="s">
        <v>12</v>
      </c>
      <c r="B50" s="6" t="s">
        <v>97</v>
      </c>
      <c r="C50" s="6" t="s">
        <v>14</v>
      </c>
      <c r="D50" s="7" t="s">
        <v>99</v>
      </c>
      <c r="E50" s="11" t="s">
        <v>16</v>
      </c>
      <c r="F50" s="13">
        <v>437</v>
      </c>
      <c r="G50" s="13" t="s">
        <v>53</v>
      </c>
      <c r="H50" s="13" t="s">
        <v>20</v>
      </c>
      <c r="I50" s="10"/>
      <c r="J50" s="3"/>
      <c r="L50" s="3">
        <v>458.98</v>
      </c>
      <c r="M50" s="36" t="s">
        <v>87</v>
      </c>
      <c r="N50" s="35">
        <f t="shared" si="3"/>
        <v>5.0297482837528648E-2</v>
      </c>
    </row>
    <row r="51" spans="1:14">
      <c r="A51" s="38" t="s">
        <v>12</v>
      </c>
      <c r="B51" s="38" t="s">
        <v>97</v>
      </c>
      <c r="C51" s="38" t="s">
        <v>14</v>
      </c>
      <c r="D51" s="39" t="s">
        <v>100</v>
      </c>
      <c r="E51" s="40" t="s">
        <v>44</v>
      </c>
      <c r="F51" s="41">
        <v>468.7</v>
      </c>
      <c r="G51" s="41" t="s">
        <v>101</v>
      </c>
      <c r="H51" s="41" t="s">
        <v>87</v>
      </c>
      <c r="I51" s="10"/>
      <c r="J51" s="3"/>
      <c r="L51" s="42"/>
      <c r="M51" s="42"/>
    </row>
    <row r="52" spans="1:14">
      <c r="A52" s="6" t="s">
        <v>12</v>
      </c>
      <c r="B52" s="6" t="s">
        <v>97</v>
      </c>
      <c r="C52" s="6" t="s">
        <v>14</v>
      </c>
      <c r="D52" s="7" t="s">
        <v>102</v>
      </c>
      <c r="E52" s="12" t="s">
        <v>44</v>
      </c>
      <c r="F52" s="13">
        <v>446.5</v>
      </c>
      <c r="G52" s="13" t="s">
        <v>53</v>
      </c>
      <c r="H52" s="13" t="s">
        <v>20</v>
      </c>
      <c r="I52" s="10"/>
      <c r="J52" s="3"/>
      <c r="L52" s="3">
        <v>468.7</v>
      </c>
      <c r="M52" s="36" t="s">
        <v>87</v>
      </c>
      <c r="N52" s="35">
        <f t="shared" si="3"/>
        <v>4.9720044792833124E-2</v>
      </c>
    </row>
    <row r="53" spans="1:14">
      <c r="A53" s="6" t="s">
        <v>74</v>
      </c>
      <c r="B53" s="6" t="s">
        <v>89</v>
      </c>
      <c r="C53" s="6" t="s">
        <v>14</v>
      </c>
      <c r="D53" s="6" t="s">
        <v>103</v>
      </c>
      <c r="E53" s="11" t="s">
        <v>16</v>
      </c>
      <c r="F53" s="13">
        <v>434.57</v>
      </c>
      <c r="G53" s="13" t="s">
        <v>53</v>
      </c>
      <c r="H53" s="13" t="s">
        <v>20</v>
      </c>
      <c r="I53" s="10"/>
      <c r="J53" s="3" t="s">
        <v>19</v>
      </c>
      <c r="L53" s="28"/>
      <c r="M53" s="28"/>
      <c r="N53"/>
    </row>
    <row r="54" spans="1:14">
      <c r="A54" s="6" t="s">
        <v>74</v>
      </c>
      <c r="B54" s="6" t="s">
        <v>89</v>
      </c>
      <c r="C54" s="6" t="s">
        <v>14</v>
      </c>
      <c r="D54" s="6" t="s">
        <v>104</v>
      </c>
      <c r="E54" s="8" t="s">
        <v>16</v>
      </c>
      <c r="F54" s="13">
        <v>433.25</v>
      </c>
      <c r="G54" s="13" t="s">
        <v>53</v>
      </c>
      <c r="H54" s="13" t="s">
        <v>20</v>
      </c>
      <c r="I54" s="10"/>
      <c r="J54" s="3" t="s">
        <v>19</v>
      </c>
      <c r="L54" s="28"/>
      <c r="M54" s="28"/>
      <c r="N54"/>
    </row>
    <row r="55" spans="1:14">
      <c r="A55" s="6" t="s">
        <v>74</v>
      </c>
      <c r="B55" s="6" t="s">
        <v>75</v>
      </c>
      <c r="C55" s="6" t="s">
        <v>14</v>
      </c>
      <c r="D55" s="6" t="s">
        <v>105</v>
      </c>
      <c r="E55" s="7" t="s">
        <v>23</v>
      </c>
      <c r="F55" s="13">
        <v>437.26</v>
      </c>
      <c r="G55" s="13" t="s">
        <v>53</v>
      </c>
      <c r="H55" s="13" t="s">
        <v>20</v>
      </c>
      <c r="I55" s="10"/>
      <c r="J55" s="3" t="s">
        <v>19</v>
      </c>
      <c r="L55" s="28"/>
      <c r="M55" s="28"/>
      <c r="N55"/>
    </row>
    <row r="56" spans="1:14">
      <c r="A56" s="6" t="s">
        <v>74</v>
      </c>
      <c r="B56" s="6" t="s">
        <v>89</v>
      </c>
      <c r="C56" s="6" t="s">
        <v>14</v>
      </c>
      <c r="D56" s="6" t="s">
        <v>106</v>
      </c>
      <c r="E56" s="8" t="s">
        <v>16</v>
      </c>
      <c r="F56" s="13">
        <v>437.94</v>
      </c>
      <c r="G56" s="13" t="s">
        <v>53</v>
      </c>
      <c r="H56" s="13" t="s">
        <v>20</v>
      </c>
      <c r="I56" s="10"/>
      <c r="J56" s="3" t="s">
        <v>19</v>
      </c>
      <c r="L56" s="28"/>
      <c r="M56" s="28"/>
      <c r="N56"/>
    </row>
    <row r="57" spans="1:14">
      <c r="A57" s="6" t="s">
        <v>24</v>
      </c>
      <c r="B57" s="6" t="s">
        <v>85</v>
      </c>
      <c r="C57" s="6" t="s">
        <v>65</v>
      </c>
      <c r="D57" s="17" t="s">
        <v>107</v>
      </c>
      <c r="E57" s="11" t="s">
        <v>16</v>
      </c>
      <c r="F57" s="16">
        <v>448</v>
      </c>
      <c r="G57" s="15" t="s">
        <v>53</v>
      </c>
      <c r="H57" s="15" t="s">
        <v>20</v>
      </c>
      <c r="I57" s="10"/>
      <c r="J57" s="3" t="s">
        <v>19</v>
      </c>
      <c r="L57" s="28">
        <f>F57*1.07</f>
        <v>479.36</v>
      </c>
      <c r="M57" s="29" t="s">
        <v>87</v>
      </c>
      <c r="N57"/>
    </row>
    <row r="58" spans="1:14">
      <c r="A58" s="6" t="s">
        <v>12</v>
      </c>
      <c r="B58" s="6" t="s">
        <v>51</v>
      </c>
      <c r="C58" s="6" t="s">
        <v>14</v>
      </c>
      <c r="D58" s="7" t="s">
        <v>108</v>
      </c>
      <c r="E58" s="8" t="s">
        <v>23</v>
      </c>
      <c r="F58" s="13">
        <v>411</v>
      </c>
      <c r="G58" s="13" t="s">
        <v>53</v>
      </c>
      <c r="H58" s="13" t="s">
        <v>20</v>
      </c>
      <c r="I58" s="10"/>
      <c r="J58" s="3"/>
      <c r="L58" s="3">
        <v>410</v>
      </c>
      <c r="M58" s="3" t="s">
        <v>20</v>
      </c>
      <c r="N58" s="35">
        <f t="shared" ref="N58:N60" si="4">(L58-F58)/F58</f>
        <v>-2.4330900243309003E-3</v>
      </c>
    </row>
    <row r="59" spans="1:14">
      <c r="A59" s="6" t="s">
        <v>12</v>
      </c>
      <c r="B59" s="6" t="s">
        <v>54</v>
      </c>
      <c r="C59" s="6" t="s">
        <v>14</v>
      </c>
      <c r="D59" s="7" t="s">
        <v>109</v>
      </c>
      <c r="E59" s="12" t="s">
        <v>44</v>
      </c>
      <c r="F59" s="16">
        <v>409.5</v>
      </c>
      <c r="G59" s="13" t="s">
        <v>53</v>
      </c>
      <c r="H59" s="13" t="s">
        <v>20</v>
      </c>
      <c r="I59" s="10"/>
      <c r="J59" s="3" t="s">
        <v>19</v>
      </c>
      <c r="L59" s="3">
        <v>433.85</v>
      </c>
      <c r="M59" s="3" t="s">
        <v>20</v>
      </c>
      <c r="N59" s="35">
        <f t="shared" si="4"/>
        <v>5.9462759462759515E-2</v>
      </c>
    </row>
    <row r="60" spans="1:14">
      <c r="A60" s="6" t="s">
        <v>12</v>
      </c>
      <c r="B60" s="6" t="s">
        <v>97</v>
      </c>
      <c r="C60" s="6" t="s">
        <v>14</v>
      </c>
      <c r="D60" s="7" t="s">
        <v>110</v>
      </c>
      <c r="E60" s="8" t="s">
        <v>16</v>
      </c>
      <c r="F60" s="13">
        <v>437</v>
      </c>
      <c r="G60" s="13" t="s">
        <v>53</v>
      </c>
      <c r="H60" s="13" t="s">
        <v>20</v>
      </c>
      <c r="I60" s="10"/>
      <c r="J60" s="3" t="s">
        <v>31</v>
      </c>
      <c r="L60" s="3">
        <v>458.98</v>
      </c>
      <c r="M60" s="36" t="s">
        <v>87</v>
      </c>
      <c r="N60" s="35">
        <f t="shared" si="4"/>
        <v>5.0297482837528648E-2</v>
      </c>
    </row>
    <row r="61" spans="1:14">
      <c r="A61" s="6" t="s">
        <v>24</v>
      </c>
      <c r="B61" s="6" t="s">
        <v>32</v>
      </c>
      <c r="C61" s="6" t="s">
        <v>65</v>
      </c>
      <c r="D61" s="10" t="s">
        <v>111</v>
      </c>
      <c r="E61" s="8" t="s">
        <v>16</v>
      </c>
      <c r="F61" s="16">
        <v>429</v>
      </c>
      <c r="G61" s="15" t="s">
        <v>53</v>
      </c>
      <c r="H61" s="15" t="s">
        <v>20</v>
      </c>
      <c r="I61" s="10"/>
      <c r="J61" s="3"/>
      <c r="L61" s="28">
        <f t="shared" ref="L61:L62" si="5">F61*1.07</f>
        <v>459.03000000000003</v>
      </c>
      <c r="M61" s="29" t="s">
        <v>87</v>
      </c>
      <c r="N61"/>
    </row>
    <row r="62" spans="1:14">
      <c r="A62" s="6" t="s">
        <v>24</v>
      </c>
      <c r="B62" s="6" t="s">
        <v>32</v>
      </c>
      <c r="C62" s="6" t="s">
        <v>65</v>
      </c>
      <c r="D62" s="20" t="s">
        <v>112</v>
      </c>
      <c r="E62" s="7" t="s">
        <v>23</v>
      </c>
      <c r="F62" s="14">
        <v>429</v>
      </c>
      <c r="G62" s="22" t="s">
        <v>53</v>
      </c>
      <c r="H62" s="22" t="s">
        <v>20</v>
      </c>
      <c r="I62" s="10"/>
      <c r="J62" s="3" t="s">
        <v>19</v>
      </c>
      <c r="L62" s="28">
        <f t="shared" si="5"/>
        <v>459.03000000000003</v>
      </c>
      <c r="M62" s="29" t="s">
        <v>87</v>
      </c>
      <c r="N62"/>
    </row>
    <row r="63" spans="1:14">
      <c r="A63" s="6" t="s">
        <v>24</v>
      </c>
      <c r="B63" s="6" t="s">
        <v>36</v>
      </c>
      <c r="C63" s="6" t="s">
        <v>14</v>
      </c>
      <c r="D63" s="20" t="s">
        <v>113</v>
      </c>
      <c r="E63" s="7" t="s">
        <v>44</v>
      </c>
      <c r="F63" s="14">
        <v>406</v>
      </c>
      <c r="G63" s="22" t="s">
        <v>53</v>
      </c>
      <c r="H63" s="22" t="s">
        <v>20</v>
      </c>
      <c r="I63" s="10"/>
      <c r="J63" s="3" t="s">
        <v>19</v>
      </c>
      <c r="L63" s="28">
        <f>F63*1.05</f>
        <v>426.3</v>
      </c>
      <c r="M63" s="28" t="s">
        <v>20</v>
      </c>
      <c r="N63"/>
    </row>
    <row r="64" spans="1:14">
      <c r="A64" s="6" t="s">
        <v>74</v>
      </c>
      <c r="B64" s="6" t="s">
        <v>75</v>
      </c>
      <c r="C64" s="6" t="s">
        <v>14</v>
      </c>
      <c r="D64" s="19" t="s">
        <v>114</v>
      </c>
      <c r="E64" s="7" t="s">
        <v>44</v>
      </c>
      <c r="F64" s="9">
        <v>437.26</v>
      </c>
      <c r="G64" s="13" t="s">
        <v>53</v>
      </c>
      <c r="H64" s="13" t="s">
        <v>20</v>
      </c>
      <c r="I64" s="10"/>
      <c r="J64" s="3" t="s">
        <v>19</v>
      </c>
      <c r="L64" s="28"/>
      <c r="M64" s="28"/>
      <c r="N64"/>
    </row>
    <row r="65" spans="1:14">
      <c r="A65" s="6" t="s">
        <v>74</v>
      </c>
      <c r="B65" s="6" t="s">
        <v>89</v>
      </c>
      <c r="C65" s="6" t="s">
        <v>14</v>
      </c>
      <c r="D65" s="19" t="s">
        <v>115</v>
      </c>
      <c r="E65" s="8" t="s">
        <v>16</v>
      </c>
      <c r="F65" s="9">
        <v>434.47</v>
      </c>
      <c r="G65" s="9" t="s">
        <v>53</v>
      </c>
      <c r="H65" s="9" t="s">
        <v>20</v>
      </c>
      <c r="I65" s="10"/>
      <c r="J65" s="3" t="s">
        <v>31</v>
      </c>
      <c r="L65" s="28"/>
      <c r="M65" s="28"/>
      <c r="N65"/>
    </row>
    <row r="66" spans="1:14">
      <c r="A66" s="6" t="s">
        <v>24</v>
      </c>
      <c r="B66" s="6" t="s">
        <v>32</v>
      </c>
      <c r="C66" s="6" t="s">
        <v>65</v>
      </c>
      <c r="D66" s="23" t="s">
        <v>116</v>
      </c>
      <c r="E66" s="8" t="s">
        <v>16</v>
      </c>
      <c r="F66" s="14">
        <v>429</v>
      </c>
      <c r="G66" s="22" t="s">
        <v>53</v>
      </c>
      <c r="H66" s="22" t="s">
        <v>20</v>
      </c>
      <c r="I66" s="10"/>
      <c r="J66" s="3" t="s">
        <v>31</v>
      </c>
      <c r="L66" s="28">
        <f>F66*1.07</f>
        <v>459.03000000000003</v>
      </c>
      <c r="M66" s="29" t="s">
        <v>87</v>
      </c>
      <c r="N66"/>
    </row>
    <row r="67" spans="1:14">
      <c r="A67" s="6" t="s">
        <v>74</v>
      </c>
      <c r="B67" s="6" t="s">
        <v>75</v>
      </c>
      <c r="C67" s="6" t="s">
        <v>14</v>
      </c>
      <c r="D67" s="19" t="s">
        <v>117</v>
      </c>
      <c r="E67" s="8" t="s">
        <v>16</v>
      </c>
      <c r="F67" s="9">
        <v>437.26</v>
      </c>
      <c r="G67" s="9" t="s">
        <v>53</v>
      </c>
      <c r="H67" s="9" t="s">
        <v>20</v>
      </c>
      <c r="I67" s="10"/>
      <c r="J67" s="3" t="s">
        <v>19</v>
      </c>
      <c r="L67" s="28"/>
      <c r="M67" s="28"/>
      <c r="N67"/>
    </row>
    <row r="68" spans="1:14">
      <c r="A68" s="6" t="s">
        <v>24</v>
      </c>
      <c r="B68" s="6" t="s">
        <v>32</v>
      </c>
      <c r="C68" s="6" t="s">
        <v>65</v>
      </c>
      <c r="D68" s="20" t="s">
        <v>118</v>
      </c>
      <c r="E68" s="7" t="s">
        <v>44</v>
      </c>
      <c r="F68" s="14">
        <v>429</v>
      </c>
      <c r="G68" s="15" t="s">
        <v>53</v>
      </c>
      <c r="H68" s="15" t="s">
        <v>20</v>
      </c>
      <c r="I68" s="10"/>
      <c r="J68" s="3" t="s">
        <v>19</v>
      </c>
      <c r="L68" s="28">
        <f>F68*1.07</f>
        <v>459.03000000000003</v>
      </c>
      <c r="M68" s="29" t="s">
        <v>87</v>
      </c>
      <c r="N68"/>
    </row>
    <row r="69" spans="1:14">
      <c r="A69" s="6" t="s">
        <v>74</v>
      </c>
      <c r="B69" s="6" t="s">
        <v>119</v>
      </c>
      <c r="C69" s="6" t="s">
        <v>14</v>
      </c>
      <c r="D69" s="19" t="s">
        <v>120</v>
      </c>
      <c r="E69" s="8" t="s">
        <v>16</v>
      </c>
      <c r="F69" s="9">
        <v>517.39142857142849</v>
      </c>
      <c r="G69" s="9" t="s">
        <v>121</v>
      </c>
      <c r="H69" s="9" t="s">
        <v>87</v>
      </c>
      <c r="I69" s="10"/>
      <c r="J69" s="3"/>
      <c r="L69" s="28"/>
      <c r="M69" s="28"/>
      <c r="N69"/>
    </row>
    <row r="70" spans="1:14">
      <c r="A70" s="6" t="s">
        <v>12</v>
      </c>
      <c r="B70" s="37" t="s">
        <v>122</v>
      </c>
      <c r="C70" s="6" t="s">
        <v>14</v>
      </c>
      <c r="D70" s="18" t="s">
        <v>123</v>
      </c>
      <c r="E70" s="7" t="s">
        <v>44</v>
      </c>
      <c r="F70" s="9">
        <v>468</v>
      </c>
      <c r="G70" s="9" t="s">
        <v>101</v>
      </c>
      <c r="H70" s="9" t="s">
        <v>87</v>
      </c>
      <c r="I70" s="10"/>
      <c r="J70" s="3" t="s">
        <v>31</v>
      </c>
      <c r="L70" s="3">
        <v>495.97</v>
      </c>
      <c r="M70" s="3" t="s">
        <v>87</v>
      </c>
      <c r="N70" s="35">
        <f t="shared" ref="N70:N73" si="6">(L70-F70)/F70</f>
        <v>5.976495726495732E-2</v>
      </c>
    </row>
    <row r="71" spans="1:14">
      <c r="A71" s="6" t="s">
        <v>12</v>
      </c>
      <c r="B71" s="37" t="s">
        <v>122</v>
      </c>
      <c r="C71" s="6" t="s">
        <v>14</v>
      </c>
      <c r="D71" s="19" t="s">
        <v>124</v>
      </c>
      <c r="E71" s="7" t="s">
        <v>44</v>
      </c>
      <c r="F71" s="9">
        <v>468</v>
      </c>
      <c r="G71" s="9" t="s">
        <v>101</v>
      </c>
      <c r="H71" s="9" t="s">
        <v>87</v>
      </c>
      <c r="I71" s="10"/>
      <c r="J71" s="3" t="s">
        <v>19</v>
      </c>
      <c r="L71" s="3">
        <v>495.97</v>
      </c>
      <c r="M71" s="3" t="s">
        <v>87</v>
      </c>
      <c r="N71" s="35">
        <f t="shared" si="6"/>
        <v>5.976495726495732E-2</v>
      </c>
    </row>
    <row r="72" spans="1:14">
      <c r="A72" s="6" t="s">
        <v>12</v>
      </c>
      <c r="B72" s="6" t="s">
        <v>122</v>
      </c>
      <c r="C72" s="6" t="s">
        <v>14</v>
      </c>
      <c r="D72" s="18" t="s">
        <v>125</v>
      </c>
      <c r="E72" s="8" t="s">
        <v>16</v>
      </c>
      <c r="F72" s="9">
        <v>457.5</v>
      </c>
      <c r="G72" s="9" t="s">
        <v>101</v>
      </c>
      <c r="H72" s="9" t="s">
        <v>87</v>
      </c>
      <c r="I72" s="10"/>
      <c r="J72" s="3" t="s">
        <v>19</v>
      </c>
      <c r="L72" s="3">
        <v>484.76</v>
      </c>
      <c r="M72" s="3" t="s">
        <v>87</v>
      </c>
      <c r="N72" s="35">
        <f t="shared" si="6"/>
        <v>5.9584699453551895E-2</v>
      </c>
    </row>
    <row r="73" spans="1:14">
      <c r="A73" s="6" t="s">
        <v>12</v>
      </c>
      <c r="B73" s="6" t="s">
        <v>122</v>
      </c>
      <c r="C73" s="6" t="s">
        <v>14</v>
      </c>
      <c r="D73" s="18" t="s">
        <v>126</v>
      </c>
      <c r="E73" s="18" t="s">
        <v>44</v>
      </c>
      <c r="F73" s="9">
        <v>470.5</v>
      </c>
      <c r="G73" s="9" t="s">
        <v>101</v>
      </c>
      <c r="H73" s="9" t="s">
        <v>87</v>
      </c>
      <c r="I73" s="10"/>
      <c r="J73" s="3" t="s">
        <v>19</v>
      </c>
      <c r="L73" s="3">
        <v>498.97</v>
      </c>
      <c r="M73" s="3" t="s">
        <v>87</v>
      </c>
      <c r="N73" s="35">
        <f t="shared" si="6"/>
        <v>6.0510095642933109E-2</v>
      </c>
    </row>
    <row r="74" spans="1:14">
      <c r="A74" s="6" t="s">
        <v>74</v>
      </c>
      <c r="B74" s="6" t="s">
        <v>119</v>
      </c>
      <c r="C74" s="6" t="s">
        <v>14</v>
      </c>
      <c r="D74" s="19" t="s">
        <v>127</v>
      </c>
      <c r="E74" s="8" t="s">
        <v>16</v>
      </c>
      <c r="F74" s="9">
        <v>511.68666666666667</v>
      </c>
      <c r="G74" s="9" t="s">
        <v>121</v>
      </c>
      <c r="H74" s="9" t="s">
        <v>87</v>
      </c>
      <c r="I74" s="10"/>
      <c r="J74" s="3" t="s">
        <v>19</v>
      </c>
      <c r="L74" s="28"/>
      <c r="M74" s="28"/>
      <c r="N74"/>
    </row>
    <row r="75" spans="1:14">
      <c r="A75" s="6" t="s">
        <v>27</v>
      </c>
      <c r="B75" s="6" t="s">
        <v>46</v>
      </c>
      <c r="C75" s="8" t="s">
        <v>29</v>
      </c>
      <c r="D75" s="23" t="s">
        <v>128</v>
      </c>
      <c r="E75" s="17" t="s">
        <v>129</v>
      </c>
      <c r="F75" s="14">
        <v>472.04</v>
      </c>
      <c r="G75" s="22" t="s">
        <v>101</v>
      </c>
      <c r="H75" s="22" t="s">
        <v>87</v>
      </c>
      <c r="I75" s="10"/>
      <c r="J75" s="3"/>
      <c r="K75" s="27"/>
      <c r="L75" s="28">
        <v>500.13</v>
      </c>
      <c r="M75" s="29" t="s">
        <v>130</v>
      </c>
      <c r="N75"/>
    </row>
    <row r="76" spans="1:14">
      <c r="A76" s="6" t="s">
        <v>74</v>
      </c>
      <c r="B76" s="6" t="s">
        <v>119</v>
      </c>
      <c r="C76" s="6" t="s">
        <v>14</v>
      </c>
      <c r="D76" s="18" t="s">
        <v>131</v>
      </c>
      <c r="E76" s="8" t="s">
        <v>16</v>
      </c>
      <c r="F76" s="9">
        <v>505.94</v>
      </c>
      <c r="G76" s="9" t="s">
        <v>121</v>
      </c>
      <c r="H76" s="9" t="s">
        <v>87</v>
      </c>
      <c r="I76" s="10"/>
      <c r="J76" s="3" t="s">
        <v>19</v>
      </c>
      <c r="L76" s="28"/>
      <c r="M76" s="28"/>
      <c r="N76"/>
    </row>
    <row r="77" spans="1:14">
      <c r="A77" s="6" t="s">
        <v>74</v>
      </c>
      <c r="B77" s="6" t="s">
        <v>119</v>
      </c>
      <c r="C77" s="6" t="s">
        <v>14</v>
      </c>
      <c r="D77" s="18" t="s">
        <v>132</v>
      </c>
      <c r="E77" s="21" t="s">
        <v>16</v>
      </c>
      <c r="F77" s="9">
        <v>488.33</v>
      </c>
      <c r="G77" s="9" t="s">
        <v>101</v>
      </c>
      <c r="H77" s="9" t="s">
        <v>87</v>
      </c>
      <c r="I77" s="10"/>
      <c r="J77" s="3"/>
      <c r="L77" s="28"/>
      <c r="M77" s="28"/>
      <c r="N77"/>
    </row>
    <row r="78" spans="1:14">
      <c r="A78" s="6" t="s">
        <v>24</v>
      </c>
      <c r="B78" s="6" t="s">
        <v>85</v>
      </c>
      <c r="C78" s="6" t="s">
        <v>65</v>
      </c>
      <c r="D78" s="20" t="s">
        <v>133</v>
      </c>
      <c r="E78" s="7" t="s">
        <v>44</v>
      </c>
      <c r="F78" s="14">
        <v>493</v>
      </c>
      <c r="G78" s="22" t="s">
        <v>101</v>
      </c>
      <c r="H78" s="22" t="s">
        <v>87</v>
      </c>
      <c r="I78" s="10"/>
      <c r="J78" s="3"/>
      <c r="L78" s="28">
        <f>F78*1.07</f>
        <v>527.51</v>
      </c>
      <c r="M78" s="29" t="s">
        <v>130</v>
      </c>
      <c r="N78"/>
    </row>
    <row r="79" spans="1:14">
      <c r="A79" s="6" t="s">
        <v>74</v>
      </c>
      <c r="B79" s="6" t="s">
        <v>119</v>
      </c>
      <c r="C79" s="6" t="s">
        <v>14</v>
      </c>
      <c r="D79" s="18" t="s">
        <v>134</v>
      </c>
      <c r="E79" s="8" t="s">
        <v>16</v>
      </c>
      <c r="F79" s="9">
        <v>488.33</v>
      </c>
      <c r="G79" s="9" t="s">
        <v>101</v>
      </c>
      <c r="H79" s="9" t="s">
        <v>87</v>
      </c>
      <c r="I79" s="10"/>
      <c r="J79" s="3" t="s">
        <v>19</v>
      </c>
      <c r="L79" s="28"/>
      <c r="M79" s="28"/>
      <c r="N79"/>
    </row>
    <row r="80" spans="1:14">
      <c r="A80" s="6" t="s">
        <v>24</v>
      </c>
      <c r="B80" s="6" t="s">
        <v>85</v>
      </c>
      <c r="C80" s="6" t="s">
        <v>65</v>
      </c>
      <c r="D80" s="20" t="s">
        <v>135</v>
      </c>
      <c r="E80" s="8" t="s">
        <v>16</v>
      </c>
      <c r="F80" s="14">
        <v>453</v>
      </c>
      <c r="G80" s="22" t="s">
        <v>101</v>
      </c>
      <c r="H80" s="22" t="s">
        <v>87</v>
      </c>
      <c r="I80" s="10"/>
      <c r="J80" s="3" t="s">
        <v>19</v>
      </c>
      <c r="L80" s="28">
        <f>F80*1.07</f>
        <v>484.71000000000004</v>
      </c>
      <c r="M80" s="28" t="s">
        <v>87</v>
      </c>
      <c r="N80"/>
    </row>
    <row r="81" spans="1:14">
      <c r="A81" s="6" t="s">
        <v>74</v>
      </c>
      <c r="B81" s="6" t="s">
        <v>119</v>
      </c>
      <c r="C81" s="6" t="s">
        <v>14</v>
      </c>
      <c r="D81" s="18" t="s">
        <v>136</v>
      </c>
      <c r="E81" s="8" t="s">
        <v>16</v>
      </c>
      <c r="F81" s="9">
        <v>502.59</v>
      </c>
      <c r="G81" s="9" t="s">
        <v>121</v>
      </c>
      <c r="H81" s="9" t="s">
        <v>87</v>
      </c>
      <c r="I81" s="10"/>
      <c r="J81" s="3" t="s">
        <v>19</v>
      </c>
      <c r="L81" s="28"/>
      <c r="M81" s="28"/>
      <c r="N81"/>
    </row>
    <row r="82" spans="1:14">
      <c r="A82" s="6" t="s">
        <v>12</v>
      </c>
      <c r="B82" s="6" t="s">
        <v>137</v>
      </c>
      <c r="C82" s="6" t="s">
        <v>65</v>
      </c>
      <c r="D82" s="19" t="s">
        <v>138</v>
      </c>
      <c r="E82" s="21" t="s">
        <v>16</v>
      </c>
      <c r="F82" s="9">
        <v>508.5</v>
      </c>
      <c r="G82" s="9" t="s">
        <v>121</v>
      </c>
      <c r="H82" s="9" t="s">
        <v>130</v>
      </c>
      <c r="I82" s="10"/>
      <c r="J82" s="3" t="s">
        <v>19</v>
      </c>
      <c r="L82" s="3">
        <v>528.74</v>
      </c>
      <c r="M82" s="3" t="s">
        <v>130</v>
      </c>
      <c r="N82" s="35">
        <f>(L82-F82)/F82</f>
        <v>3.9803343166175044E-2</v>
      </c>
    </row>
    <row r="83" spans="1:14">
      <c r="A83" s="6" t="s">
        <v>71</v>
      </c>
      <c r="B83" s="6" t="s">
        <v>139</v>
      </c>
      <c r="C83" s="6" t="s">
        <v>65</v>
      </c>
      <c r="D83" s="23" t="s">
        <v>140</v>
      </c>
      <c r="E83" s="20" t="s">
        <v>44</v>
      </c>
      <c r="F83" s="14">
        <v>535</v>
      </c>
      <c r="G83" s="22" t="s">
        <v>121</v>
      </c>
      <c r="H83" s="22" t="s">
        <v>130</v>
      </c>
      <c r="I83" s="10"/>
      <c r="J83" s="3" t="s">
        <v>19</v>
      </c>
      <c r="L83" s="28"/>
      <c r="M83" s="28"/>
      <c r="N83"/>
    </row>
    <row r="84" spans="1:14">
      <c r="A84" s="6" t="s">
        <v>141</v>
      </c>
      <c r="B84" s="6" t="s">
        <v>142</v>
      </c>
      <c r="C84" s="6" t="s">
        <v>65</v>
      </c>
      <c r="D84" s="23" t="s">
        <v>143</v>
      </c>
      <c r="E84" s="20" t="s">
        <v>16</v>
      </c>
      <c r="F84" s="49">
        <v>535.3818691827106</v>
      </c>
      <c r="G84" s="50" t="s">
        <v>121</v>
      </c>
      <c r="H84" s="50" t="s">
        <v>130</v>
      </c>
      <c r="I84" s="10"/>
      <c r="J84" s="3" t="s">
        <v>19</v>
      </c>
      <c r="L84" s="29">
        <v>547</v>
      </c>
      <c r="M84" s="29" t="s">
        <v>130</v>
      </c>
      <c r="N84"/>
    </row>
    <row r="85" spans="1:14">
      <c r="A85" s="6" t="s">
        <v>141</v>
      </c>
      <c r="B85" s="6" t="s">
        <v>144</v>
      </c>
      <c r="C85" s="6" t="s">
        <v>65</v>
      </c>
      <c r="D85" s="10" t="s">
        <v>145</v>
      </c>
      <c r="E85" s="26" t="s">
        <v>16</v>
      </c>
      <c r="F85" s="49">
        <v>537.53171012181315</v>
      </c>
      <c r="G85" s="51" t="s">
        <v>121</v>
      </c>
      <c r="H85" s="51" t="s">
        <v>130</v>
      </c>
      <c r="I85" s="10"/>
      <c r="J85" s="3" t="s">
        <v>19</v>
      </c>
      <c r="L85" s="29">
        <v>549</v>
      </c>
      <c r="M85" s="29" t="s">
        <v>130</v>
      </c>
      <c r="N85"/>
    </row>
    <row r="86" spans="1:14">
      <c r="A86" s="6" t="s">
        <v>12</v>
      </c>
      <c r="B86" s="6" t="s">
        <v>137</v>
      </c>
      <c r="C86" s="6" t="s">
        <v>65</v>
      </c>
      <c r="D86" s="19" t="s">
        <v>146</v>
      </c>
      <c r="E86" s="7" t="s">
        <v>44</v>
      </c>
      <c r="F86" s="9">
        <v>520</v>
      </c>
      <c r="G86" s="9" t="s">
        <v>121</v>
      </c>
      <c r="H86" s="9" t="s">
        <v>130</v>
      </c>
      <c r="I86" s="10"/>
      <c r="J86" s="3" t="s">
        <v>19</v>
      </c>
      <c r="L86" s="3">
        <v>540.9</v>
      </c>
      <c r="M86" s="3" t="s">
        <v>130</v>
      </c>
      <c r="N86" s="35">
        <f>(L86-F86)/F86</f>
        <v>4.0192307692307645E-2</v>
      </c>
    </row>
    <row r="87" spans="1:14">
      <c r="A87" s="6" t="s">
        <v>27</v>
      </c>
      <c r="B87" s="6" t="s">
        <v>147</v>
      </c>
      <c r="C87" s="8" t="s">
        <v>29</v>
      </c>
      <c r="D87" s="23" t="s">
        <v>148</v>
      </c>
      <c r="E87" s="20" t="s">
        <v>129</v>
      </c>
      <c r="F87" s="14">
        <v>512.5</v>
      </c>
      <c r="G87" s="9" t="s">
        <v>121</v>
      </c>
      <c r="H87" s="9" t="s">
        <v>130</v>
      </c>
      <c r="I87" s="10"/>
      <c r="J87" s="3" t="s">
        <v>19</v>
      </c>
      <c r="K87" s="27"/>
      <c r="L87" s="28">
        <v>542.99</v>
      </c>
      <c r="M87" s="28" t="s">
        <v>130</v>
      </c>
      <c r="N87"/>
    </row>
    <row r="88" spans="1:14">
      <c r="A88" s="6" t="s">
        <v>12</v>
      </c>
      <c r="B88" s="6" t="s">
        <v>137</v>
      </c>
      <c r="C88" s="6" t="s">
        <v>65</v>
      </c>
      <c r="D88" s="6" t="s">
        <v>149</v>
      </c>
      <c r="E88" s="11" t="s">
        <v>16</v>
      </c>
      <c r="F88" s="13">
        <v>520</v>
      </c>
      <c r="G88" s="13" t="s">
        <v>121</v>
      </c>
      <c r="H88" s="13" t="s">
        <v>130</v>
      </c>
      <c r="I88" s="10"/>
      <c r="J88" s="3" t="s">
        <v>19</v>
      </c>
      <c r="L88" s="3">
        <v>540.9</v>
      </c>
      <c r="M88" s="3" t="s">
        <v>130</v>
      </c>
      <c r="N88" s="35">
        <f>(L88-F88)/F88</f>
        <v>4.0192307692307645E-2</v>
      </c>
    </row>
    <row r="89" spans="1:14">
      <c r="A89" s="6" t="s">
        <v>71</v>
      </c>
      <c r="B89" s="6" t="s">
        <v>139</v>
      </c>
      <c r="C89" s="6" t="s">
        <v>65</v>
      </c>
      <c r="D89" s="10" t="s">
        <v>150</v>
      </c>
      <c r="E89" s="25" t="s">
        <v>16</v>
      </c>
      <c r="F89" s="16">
        <v>525</v>
      </c>
      <c r="G89" s="15" t="s">
        <v>121</v>
      </c>
      <c r="H89" s="15" t="s">
        <v>130</v>
      </c>
      <c r="I89" s="10"/>
      <c r="J89" s="3" t="s">
        <v>19</v>
      </c>
      <c r="L89" s="28"/>
      <c r="M89" s="28"/>
      <c r="N89"/>
    </row>
    <row r="90" spans="1:14">
      <c r="A90" s="6" t="s">
        <v>71</v>
      </c>
      <c r="B90" s="6" t="s">
        <v>139</v>
      </c>
      <c r="C90" s="6" t="s">
        <v>65</v>
      </c>
      <c r="D90" s="10" t="s">
        <v>151</v>
      </c>
      <c r="E90" s="17" t="s">
        <v>16</v>
      </c>
      <c r="F90" s="14">
        <v>525</v>
      </c>
      <c r="G90" s="22" t="s">
        <v>121</v>
      </c>
      <c r="H90" s="22" t="s">
        <v>130</v>
      </c>
      <c r="I90" s="10"/>
      <c r="J90" s="3"/>
      <c r="L90" s="28"/>
      <c r="M90" s="28"/>
      <c r="N90"/>
    </row>
    <row r="91" spans="1:14">
      <c r="A91" s="6" t="s">
        <v>71</v>
      </c>
      <c r="B91" s="6" t="s">
        <v>152</v>
      </c>
      <c r="C91" s="6" t="s">
        <v>65</v>
      </c>
      <c r="D91" s="10" t="s">
        <v>153</v>
      </c>
      <c r="E91" s="17" t="s">
        <v>16</v>
      </c>
      <c r="F91" s="14">
        <v>548</v>
      </c>
      <c r="G91" s="22" t="s">
        <v>121</v>
      </c>
      <c r="H91" s="22" t="s">
        <v>130</v>
      </c>
      <c r="I91" s="10"/>
      <c r="J91" s="3" t="s">
        <v>19</v>
      </c>
      <c r="L91" s="28"/>
      <c r="M91" s="28"/>
      <c r="N91"/>
    </row>
    <row r="92" spans="1:14">
      <c r="A92" s="6" t="s">
        <v>27</v>
      </c>
      <c r="B92" s="6" t="s">
        <v>28</v>
      </c>
      <c r="C92" s="8" t="s">
        <v>29</v>
      </c>
      <c r="D92" s="10" t="s">
        <v>154</v>
      </c>
      <c r="E92" s="17" t="s">
        <v>129</v>
      </c>
      <c r="F92" s="14">
        <v>525</v>
      </c>
      <c r="G92" s="15" t="s">
        <v>121</v>
      </c>
      <c r="H92" s="15" t="s">
        <v>130</v>
      </c>
      <c r="I92" s="10"/>
      <c r="J92" s="3" t="s">
        <v>19</v>
      </c>
      <c r="K92" s="27"/>
      <c r="L92" s="28">
        <v>556.24</v>
      </c>
      <c r="M92" s="29" t="s">
        <v>155</v>
      </c>
      <c r="N92"/>
    </row>
    <row r="93" spans="1:14">
      <c r="A93" s="6" t="s">
        <v>27</v>
      </c>
      <c r="B93" s="6" t="s">
        <v>28</v>
      </c>
      <c r="C93" s="8" t="s">
        <v>29</v>
      </c>
      <c r="D93" s="23" t="s">
        <v>156</v>
      </c>
      <c r="E93" s="20" t="s">
        <v>157</v>
      </c>
      <c r="F93" s="14">
        <v>525</v>
      </c>
      <c r="G93" s="15" t="s">
        <v>121</v>
      </c>
      <c r="H93" s="15" t="s">
        <v>130</v>
      </c>
      <c r="I93" s="10"/>
      <c r="J93" s="3" t="s">
        <v>31</v>
      </c>
      <c r="K93" s="27"/>
      <c r="L93" s="28">
        <v>556.24</v>
      </c>
      <c r="M93" s="29" t="s">
        <v>155</v>
      </c>
      <c r="N93"/>
    </row>
    <row r="94" spans="1:14">
      <c r="A94" s="6" t="s">
        <v>71</v>
      </c>
      <c r="B94" s="6" t="s">
        <v>152</v>
      </c>
      <c r="C94" s="6" t="s">
        <v>65</v>
      </c>
      <c r="D94" s="23" t="s">
        <v>158</v>
      </c>
      <c r="E94" s="20" t="s">
        <v>16</v>
      </c>
      <c r="F94" s="14">
        <v>525</v>
      </c>
      <c r="G94" s="15" t="s">
        <v>121</v>
      </c>
      <c r="H94" s="15" t="s">
        <v>130</v>
      </c>
      <c r="I94" s="10"/>
      <c r="J94" s="3" t="s">
        <v>31</v>
      </c>
      <c r="L94" s="28"/>
      <c r="M94" s="28"/>
      <c r="N94"/>
    </row>
    <row r="95" spans="1:14">
      <c r="A95" s="6" t="s">
        <v>71</v>
      </c>
      <c r="B95" s="6" t="s">
        <v>152</v>
      </c>
      <c r="C95" s="6" t="s">
        <v>65</v>
      </c>
      <c r="D95" s="23" t="s">
        <v>159</v>
      </c>
      <c r="E95" s="20" t="s">
        <v>16</v>
      </c>
      <c r="F95" s="14">
        <v>548</v>
      </c>
      <c r="G95" s="15" t="s">
        <v>121</v>
      </c>
      <c r="H95" s="15" t="s">
        <v>130</v>
      </c>
      <c r="I95" s="10"/>
      <c r="J95" s="3" t="s">
        <v>31</v>
      </c>
      <c r="L95" s="28"/>
      <c r="M95" s="28"/>
      <c r="N95"/>
    </row>
    <row r="96" spans="1:14">
      <c r="A96" s="6" t="s">
        <v>12</v>
      </c>
      <c r="B96" s="6" t="s">
        <v>137</v>
      </c>
      <c r="C96" s="6" t="s">
        <v>65</v>
      </c>
      <c r="D96" s="18" t="s">
        <v>160</v>
      </c>
      <c r="E96" s="21" t="s">
        <v>16</v>
      </c>
      <c r="F96" s="9">
        <v>508.5</v>
      </c>
      <c r="G96" s="13" t="s">
        <v>121</v>
      </c>
      <c r="H96" s="13" t="s">
        <v>130</v>
      </c>
      <c r="I96" s="10"/>
      <c r="J96" s="3" t="s">
        <v>31</v>
      </c>
      <c r="L96" s="3">
        <v>528.74</v>
      </c>
      <c r="M96" s="3" t="s">
        <v>130</v>
      </c>
      <c r="N96" s="35">
        <f>(L96-F96)/F96</f>
        <v>3.9803343166175044E-2</v>
      </c>
    </row>
    <row r="97" spans="1:14">
      <c r="A97" s="6" t="s">
        <v>141</v>
      </c>
      <c r="B97" s="6" t="s">
        <v>144</v>
      </c>
      <c r="C97" s="6" t="s">
        <v>65</v>
      </c>
      <c r="D97" s="10" t="s">
        <v>161</v>
      </c>
      <c r="E97" s="17" t="s">
        <v>16</v>
      </c>
      <c r="F97" s="52">
        <v>561.68629949379374</v>
      </c>
      <c r="G97" s="51" t="s">
        <v>162</v>
      </c>
      <c r="H97" s="51" t="s">
        <v>155</v>
      </c>
      <c r="I97" s="10"/>
      <c r="J97" s="3" t="s">
        <v>19</v>
      </c>
      <c r="L97" s="29">
        <v>573</v>
      </c>
      <c r="M97" s="29" t="s">
        <v>155</v>
      </c>
      <c r="N97"/>
    </row>
    <row r="98" spans="1:14">
      <c r="A98" s="6" t="s">
        <v>74</v>
      </c>
      <c r="B98" s="6" t="s">
        <v>163</v>
      </c>
      <c r="C98" s="6" t="s">
        <v>65</v>
      </c>
      <c r="D98" s="6" t="s">
        <v>164</v>
      </c>
      <c r="E98" s="8" t="s">
        <v>16</v>
      </c>
      <c r="F98" s="13">
        <v>563.49</v>
      </c>
      <c r="G98" s="13" t="s">
        <v>162</v>
      </c>
      <c r="H98" s="13" t="s">
        <v>155</v>
      </c>
      <c r="I98" s="10"/>
      <c r="J98" s="3" t="s">
        <v>19</v>
      </c>
      <c r="L98" s="28"/>
      <c r="M98" s="28"/>
      <c r="N98"/>
    </row>
    <row r="99" spans="1:14">
      <c r="A99" s="6" t="s">
        <v>74</v>
      </c>
      <c r="B99" s="6" t="s">
        <v>163</v>
      </c>
      <c r="C99" s="6" t="s">
        <v>65</v>
      </c>
      <c r="D99" s="19" t="s">
        <v>165</v>
      </c>
      <c r="E99" s="21" t="s">
        <v>16</v>
      </c>
      <c r="F99" s="9">
        <v>565.27</v>
      </c>
      <c r="G99" s="9" t="s">
        <v>162</v>
      </c>
      <c r="H99" s="9" t="s">
        <v>155</v>
      </c>
      <c r="I99" s="10"/>
      <c r="J99" s="3" t="s">
        <v>31</v>
      </c>
      <c r="L99" s="28"/>
      <c r="M99" s="28"/>
      <c r="N99"/>
    </row>
    <row r="100" spans="1:14">
      <c r="A100" s="6" t="s">
        <v>24</v>
      </c>
      <c r="B100" s="6" t="s">
        <v>92</v>
      </c>
      <c r="C100" s="6" t="s">
        <v>65</v>
      </c>
      <c r="D100" s="23" t="s">
        <v>166</v>
      </c>
      <c r="E100" s="20" t="s">
        <v>129</v>
      </c>
      <c r="F100" s="14">
        <v>594</v>
      </c>
      <c r="G100" s="22" t="s">
        <v>162</v>
      </c>
      <c r="H100" s="22" t="s">
        <v>155</v>
      </c>
      <c r="I100" s="10"/>
      <c r="J100" s="3" t="s">
        <v>31</v>
      </c>
      <c r="L100" s="28">
        <f>F100*1.07</f>
        <v>635.58000000000004</v>
      </c>
      <c r="M100" s="29" t="s">
        <v>167</v>
      </c>
      <c r="N100"/>
    </row>
    <row r="101" spans="1:14">
      <c r="A101" s="6" t="s">
        <v>141</v>
      </c>
      <c r="B101" s="6" t="s">
        <v>144</v>
      </c>
      <c r="C101" s="6" t="s">
        <v>65</v>
      </c>
      <c r="D101" s="10" t="s">
        <v>168</v>
      </c>
      <c r="E101" s="17" t="s">
        <v>16</v>
      </c>
      <c r="F101" s="49">
        <v>561.68629949379374</v>
      </c>
      <c r="G101" s="50" t="s">
        <v>162</v>
      </c>
      <c r="H101" s="50" t="s">
        <v>155</v>
      </c>
      <c r="I101" s="10"/>
      <c r="L101" s="29">
        <v>573</v>
      </c>
      <c r="M101" s="29" t="s">
        <v>155</v>
      </c>
      <c r="N101"/>
    </row>
    <row r="102" spans="1:14">
      <c r="A102" s="6" t="s">
        <v>12</v>
      </c>
      <c r="B102" s="6" t="s">
        <v>169</v>
      </c>
      <c r="C102" s="6" t="s">
        <v>65</v>
      </c>
      <c r="D102" s="6" t="s">
        <v>170</v>
      </c>
      <c r="E102" s="8" t="s">
        <v>16</v>
      </c>
      <c r="F102" s="14">
        <v>551.5</v>
      </c>
      <c r="G102" s="9" t="s">
        <v>162</v>
      </c>
      <c r="H102" s="9" t="s">
        <v>155</v>
      </c>
      <c r="I102" s="10"/>
      <c r="L102" s="3">
        <v>576.38</v>
      </c>
      <c r="M102" s="3" t="s">
        <v>155</v>
      </c>
      <c r="N102" s="35">
        <f t="shared" ref="N102:N103" si="7">(L102-F102)/F102</f>
        <v>4.5113327289211233E-2</v>
      </c>
    </row>
    <row r="103" spans="1:14">
      <c r="A103" s="6" t="s">
        <v>12</v>
      </c>
      <c r="B103" s="6" t="s">
        <v>169</v>
      </c>
      <c r="C103" s="6" t="s">
        <v>65</v>
      </c>
      <c r="D103" s="7" t="s">
        <v>171</v>
      </c>
      <c r="E103" s="8" t="s">
        <v>16</v>
      </c>
      <c r="F103" s="9">
        <v>551.5</v>
      </c>
      <c r="G103" s="9" t="s">
        <v>162</v>
      </c>
      <c r="H103" s="9" t="s">
        <v>155</v>
      </c>
      <c r="I103" s="10"/>
      <c r="L103" s="3">
        <v>576.38</v>
      </c>
      <c r="M103" s="3" t="s">
        <v>155</v>
      </c>
      <c r="N103" s="35">
        <f t="shared" si="7"/>
        <v>4.5113327289211233E-2</v>
      </c>
    </row>
    <row r="104" spans="1:14">
      <c r="A104" s="6" t="s">
        <v>74</v>
      </c>
      <c r="B104" s="6" t="s">
        <v>163</v>
      </c>
      <c r="C104" s="6" t="s">
        <v>65</v>
      </c>
      <c r="D104" s="6" t="s">
        <v>172</v>
      </c>
      <c r="E104" s="8" t="s">
        <v>16</v>
      </c>
      <c r="F104" s="9">
        <v>565.27</v>
      </c>
      <c r="G104" s="9" t="s">
        <v>162</v>
      </c>
      <c r="H104" s="9" t="s">
        <v>155</v>
      </c>
      <c r="I104" s="10"/>
      <c r="L104" s="28"/>
      <c r="M104" s="28"/>
      <c r="N104"/>
    </row>
    <row r="105" spans="1:14">
      <c r="A105" s="6" t="s">
        <v>74</v>
      </c>
      <c r="B105" s="6" t="s">
        <v>163</v>
      </c>
      <c r="C105" s="6" t="s">
        <v>65</v>
      </c>
      <c r="D105" s="6" t="s">
        <v>173</v>
      </c>
      <c r="E105" s="21" t="s">
        <v>16</v>
      </c>
      <c r="F105" s="9">
        <v>561.21</v>
      </c>
      <c r="G105" s="9" t="s">
        <v>162</v>
      </c>
      <c r="H105" s="9" t="s">
        <v>155</v>
      </c>
      <c r="I105" s="10"/>
      <c r="L105" s="28"/>
      <c r="M105" s="28"/>
      <c r="N105"/>
    </row>
    <row r="106" spans="1:14">
      <c r="A106" s="6" t="s">
        <v>141</v>
      </c>
      <c r="B106" s="6" t="s">
        <v>144</v>
      </c>
      <c r="C106" s="6" t="s">
        <v>65</v>
      </c>
      <c r="D106" s="10" t="s">
        <v>174</v>
      </c>
      <c r="E106" s="20" t="s">
        <v>23</v>
      </c>
      <c r="F106" s="49">
        <v>561.68629949379374</v>
      </c>
      <c r="G106" s="50" t="s">
        <v>162</v>
      </c>
      <c r="H106" s="50" t="s">
        <v>155</v>
      </c>
      <c r="I106" s="10"/>
      <c r="L106" s="29">
        <v>573</v>
      </c>
      <c r="M106" s="29" t="s">
        <v>155</v>
      </c>
      <c r="N106"/>
    </row>
    <row r="107" spans="1:14">
      <c r="A107" s="6" t="s">
        <v>74</v>
      </c>
      <c r="B107" s="6" t="s">
        <v>163</v>
      </c>
      <c r="C107" s="6" t="s">
        <v>65</v>
      </c>
      <c r="D107" s="6" t="s">
        <v>175</v>
      </c>
      <c r="E107" s="21" t="s">
        <v>16</v>
      </c>
      <c r="F107" s="9">
        <v>642.47</v>
      </c>
      <c r="G107" s="9" t="s">
        <v>176</v>
      </c>
      <c r="H107" s="9" t="s">
        <v>167</v>
      </c>
      <c r="I107" s="10"/>
      <c r="L107" s="28"/>
      <c r="M107" s="28"/>
      <c r="N107"/>
    </row>
    <row r="108" spans="1:14">
      <c r="A108" s="6" t="s">
        <v>71</v>
      </c>
      <c r="B108" s="6" t="s">
        <v>139</v>
      </c>
      <c r="C108" s="6" t="s">
        <v>65</v>
      </c>
      <c r="D108" s="10" t="s">
        <v>177</v>
      </c>
      <c r="E108" s="20" t="s">
        <v>129</v>
      </c>
      <c r="F108" s="14">
        <v>615</v>
      </c>
      <c r="G108" s="22" t="s">
        <v>176</v>
      </c>
      <c r="H108" s="22" t="s">
        <v>167</v>
      </c>
      <c r="I108" s="10"/>
      <c r="L108" s="28"/>
      <c r="M108" s="28"/>
      <c r="N108"/>
    </row>
    <row r="109" spans="1:14">
      <c r="A109" s="43" t="s">
        <v>141</v>
      </c>
      <c r="B109" s="43" t="s">
        <v>178</v>
      </c>
      <c r="C109" s="43" t="s">
        <v>14</v>
      </c>
      <c r="D109" s="44" t="s">
        <v>179</v>
      </c>
      <c r="E109" s="45" t="s">
        <v>16</v>
      </c>
      <c r="F109" s="46">
        <v>616.23023715415036</v>
      </c>
      <c r="G109" s="47" t="s">
        <v>176</v>
      </c>
      <c r="H109" s="47" t="s">
        <v>167</v>
      </c>
      <c r="I109" s="10"/>
      <c r="L109" s="48"/>
      <c r="M109" s="48"/>
      <c r="N109" t="s">
        <v>180</v>
      </c>
    </row>
    <row r="110" spans="1:14">
      <c r="A110" s="6" t="s">
        <v>74</v>
      </c>
      <c r="B110" s="6" t="s">
        <v>163</v>
      </c>
      <c r="C110" s="6" t="s">
        <v>65</v>
      </c>
      <c r="D110" s="6" t="s">
        <v>181</v>
      </c>
      <c r="E110" s="18" t="s">
        <v>44</v>
      </c>
      <c r="F110" s="9">
        <v>681.98</v>
      </c>
      <c r="G110" s="9" t="s">
        <v>182</v>
      </c>
      <c r="H110" s="9" t="s">
        <v>183</v>
      </c>
      <c r="I110" s="10"/>
      <c r="L110" s="28"/>
      <c r="M110" s="28"/>
      <c r="N110"/>
    </row>
    <row r="111" spans="1:14">
      <c r="A111" s="53" t="s">
        <v>74</v>
      </c>
      <c r="B111" s="53" t="s">
        <v>75</v>
      </c>
      <c r="C111" s="53" t="s">
        <v>14</v>
      </c>
      <c r="D111" s="54" t="s">
        <v>184</v>
      </c>
      <c r="E111" s="55" t="s">
        <v>44</v>
      </c>
      <c r="F111" s="56">
        <v>437.26</v>
      </c>
      <c r="G111" s="57" t="s">
        <v>53</v>
      </c>
      <c r="H111" s="57" t="s">
        <v>20</v>
      </c>
      <c r="I111" s="28"/>
      <c r="J111" s="28"/>
      <c r="L111" s="28"/>
      <c r="M111" s="28"/>
      <c r="N111"/>
    </row>
    <row r="112" spans="1:14">
      <c r="A112" s="38" t="s">
        <v>12</v>
      </c>
      <c r="B112" s="38" t="s">
        <v>169</v>
      </c>
      <c r="C112" s="38" t="s">
        <v>65</v>
      </c>
      <c r="D112" s="39" t="s">
        <v>185</v>
      </c>
      <c r="E112" s="40" t="s">
        <v>44</v>
      </c>
      <c r="F112" s="41">
        <v>635</v>
      </c>
      <c r="G112" s="41" t="s">
        <v>176</v>
      </c>
      <c r="H112" s="41" t="s">
        <v>167</v>
      </c>
      <c r="I112" s="42">
        <v>576.38</v>
      </c>
      <c r="J112" s="42" t="s">
        <v>155</v>
      </c>
      <c r="K112" s="35"/>
      <c r="L112"/>
      <c r="M112"/>
      <c r="N112"/>
    </row>
    <row r="113" spans="1:14">
      <c r="A113" s="30" t="s">
        <v>141</v>
      </c>
      <c r="B113" s="30" t="s">
        <v>186</v>
      </c>
      <c r="C113" s="30" t="s">
        <v>14</v>
      </c>
      <c r="D113" s="30" t="s">
        <v>187</v>
      </c>
      <c r="E113" s="31" t="s">
        <v>16</v>
      </c>
      <c r="F113" s="32">
        <v>415</v>
      </c>
      <c r="G113" s="32" t="s">
        <v>53</v>
      </c>
      <c r="H113" s="32" t="s">
        <v>20</v>
      </c>
      <c r="I113" s="33"/>
      <c r="L113" s="28"/>
      <c r="M113" s="28"/>
      <c r="N113"/>
    </row>
    <row r="114" spans="1:14">
      <c r="A114" s="30" t="s">
        <v>141</v>
      </c>
      <c r="B114" s="30" t="s">
        <v>186</v>
      </c>
      <c r="C114" s="30" t="s">
        <v>14</v>
      </c>
      <c r="D114" s="30" t="s">
        <v>188</v>
      </c>
      <c r="E114" s="31" t="s">
        <v>16</v>
      </c>
      <c r="F114" s="32">
        <v>415</v>
      </c>
      <c r="G114" s="32" t="s">
        <v>53</v>
      </c>
      <c r="H114" s="32" t="s">
        <v>20</v>
      </c>
      <c r="I114" s="33"/>
      <c r="L114" s="28"/>
      <c r="M114" s="28"/>
      <c r="N114"/>
    </row>
    <row r="115" spans="1:14">
      <c r="A115" s="30" t="s">
        <v>141</v>
      </c>
      <c r="B115" s="30" t="s">
        <v>186</v>
      </c>
      <c r="C115" s="30" t="s">
        <v>14</v>
      </c>
      <c r="D115" s="30" t="s">
        <v>189</v>
      </c>
      <c r="E115" s="31" t="s">
        <v>23</v>
      </c>
      <c r="F115" s="32">
        <v>415</v>
      </c>
      <c r="G115" s="32" t="s">
        <v>53</v>
      </c>
      <c r="H115" s="32" t="s">
        <v>20</v>
      </c>
      <c r="I115" s="33"/>
      <c r="L115" s="28"/>
      <c r="M115" s="28"/>
      <c r="N115"/>
    </row>
    <row r="116" spans="1:14">
      <c r="A116" s="30" t="s">
        <v>141</v>
      </c>
      <c r="B116" s="30" t="s">
        <v>190</v>
      </c>
      <c r="C116" s="30" t="s">
        <v>14</v>
      </c>
      <c r="D116" s="30" t="s">
        <v>191</v>
      </c>
      <c r="E116" s="31" t="s">
        <v>16</v>
      </c>
      <c r="F116" s="32">
        <v>429</v>
      </c>
      <c r="G116" s="32" t="s">
        <v>53</v>
      </c>
      <c r="H116" s="32" t="s">
        <v>20</v>
      </c>
      <c r="I116" s="33"/>
      <c r="L116" s="28"/>
      <c r="M116" s="28"/>
      <c r="N116"/>
    </row>
    <row r="117" spans="1:14">
      <c r="A117" s="30" t="s">
        <v>141</v>
      </c>
      <c r="B117" s="30" t="s">
        <v>190</v>
      </c>
      <c r="C117" s="30" t="s">
        <v>14</v>
      </c>
      <c r="D117" s="30" t="s">
        <v>192</v>
      </c>
      <c r="E117" s="31" t="s">
        <v>16</v>
      </c>
      <c r="F117" s="32">
        <v>429</v>
      </c>
      <c r="G117" s="32" t="s">
        <v>53</v>
      </c>
      <c r="H117" s="32" t="s">
        <v>20</v>
      </c>
      <c r="I117" s="33"/>
      <c r="L117" s="28"/>
      <c r="M117" s="28"/>
      <c r="N117"/>
    </row>
    <row r="118" spans="1:14">
      <c r="A118" s="30" t="s">
        <v>141</v>
      </c>
      <c r="B118" s="30" t="s">
        <v>186</v>
      </c>
      <c r="C118" s="30" t="s">
        <v>14</v>
      </c>
      <c r="D118" s="30" t="s">
        <v>193</v>
      </c>
      <c r="E118" s="31" t="s">
        <v>44</v>
      </c>
      <c r="F118" s="32">
        <v>495</v>
      </c>
      <c r="G118" s="32" t="s">
        <v>101</v>
      </c>
      <c r="H118" s="32" t="s">
        <v>87</v>
      </c>
      <c r="I118" s="33"/>
      <c r="L118" s="28"/>
      <c r="M118" s="28"/>
      <c r="N118"/>
    </row>
    <row r="119" spans="1:14">
      <c r="A119" s="30" t="s">
        <v>80</v>
      </c>
      <c r="B119" s="30" t="s">
        <v>194</v>
      </c>
      <c r="C119" s="30" t="s">
        <v>65</v>
      </c>
      <c r="D119" s="30" t="s">
        <v>195</v>
      </c>
      <c r="E119" s="31" t="s">
        <v>16</v>
      </c>
      <c r="F119" s="32">
        <f>((550*4)+(560*3)+580)/8</f>
        <v>557.5</v>
      </c>
      <c r="G119" s="32" t="s">
        <v>162</v>
      </c>
      <c r="H119" s="32" t="s">
        <v>155</v>
      </c>
      <c r="I119" s="33"/>
      <c r="L119" s="28"/>
      <c r="M119" s="28"/>
      <c r="N119"/>
    </row>
    <row r="120" spans="1:14">
      <c r="A120" s="30" t="s">
        <v>80</v>
      </c>
      <c r="B120" s="30" t="s">
        <v>196</v>
      </c>
      <c r="C120" s="30" t="s">
        <v>14</v>
      </c>
      <c r="D120" s="30" t="s">
        <v>197</v>
      </c>
      <c r="E120" s="31" t="s">
        <v>16</v>
      </c>
      <c r="F120" s="32">
        <f>((445*5)+(430*2)+440)/8</f>
        <v>440.625</v>
      </c>
      <c r="G120" s="32" t="s">
        <v>53</v>
      </c>
      <c r="H120" s="32" t="s">
        <v>20</v>
      </c>
      <c r="I120" s="33"/>
      <c r="L120" s="28"/>
      <c r="M120" s="28"/>
      <c r="N120"/>
    </row>
    <row r="121" spans="1:14">
      <c r="A121" s="30" t="s">
        <v>80</v>
      </c>
      <c r="B121" s="30" t="s">
        <v>198</v>
      </c>
      <c r="C121" s="30" t="s">
        <v>14</v>
      </c>
      <c r="D121" s="30" t="s">
        <v>199</v>
      </c>
      <c r="E121" s="31" t="s">
        <v>16</v>
      </c>
      <c r="F121" s="32">
        <v>405</v>
      </c>
      <c r="G121" s="32" t="s">
        <v>53</v>
      </c>
      <c r="H121" s="32" t="s">
        <v>20</v>
      </c>
      <c r="I121" s="33"/>
      <c r="L121" s="28"/>
      <c r="M121" s="28"/>
      <c r="N121"/>
    </row>
    <row r="122" spans="1:14">
      <c r="A122" s="30" t="s">
        <v>80</v>
      </c>
      <c r="B122" s="30" t="s">
        <v>198</v>
      </c>
      <c r="C122" s="30" t="s">
        <v>14</v>
      </c>
      <c r="D122" s="30" t="s">
        <v>200</v>
      </c>
      <c r="E122" s="31" t="s">
        <v>16</v>
      </c>
      <c r="F122" s="32">
        <v>405</v>
      </c>
      <c r="G122" s="32" t="s">
        <v>53</v>
      </c>
      <c r="H122" s="32" t="s">
        <v>20</v>
      </c>
      <c r="I122" s="33"/>
      <c r="L122" s="28"/>
      <c r="M122" s="28"/>
      <c r="N122"/>
    </row>
    <row r="123" spans="1:14">
      <c r="A123" s="30" t="s">
        <v>80</v>
      </c>
      <c r="B123" s="30" t="s">
        <v>201</v>
      </c>
      <c r="C123" s="30" t="s">
        <v>65</v>
      </c>
      <c r="D123" s="30" t="s">
        <v>202</v>
      </c>
      <c r="E123" s="31" t="s">
        <v>23</v>
      </c>
      <c r="F123" s="32">
        <f>((580*3)+(590*2)+(599*3))/8</f>
        <v>589.625</v>
      </c>
      <c r="G123" s="32" t="s">
        <v>162</v>
      </c>
      <c r="H123" s="32" t="s">
        <v>155</v>
      </c>
      <c r="I123" s="33"/>
      <c r="L123" s="28"/>
      <c r="M123" s="28"/>
      <c r="N123"/>
    </row>
    <row r="124" spans="1:14">
      <c r="A124" s="30" t="s">
        <v>80</v>
      </c>
      <c r="B124" s="30" t="s">
        <v>194</v>
      </c>
      <c r="C124" s="30" t="s">
        <v>65</v>
      </c>
      <c r="D124" s="30" t="s">
        <v>203</v>
      </c>
      <c r="E124" s="31" t="s">
        <v>23</v>
      </c>
      <c r="F124" s="32">
        <f>(538+540+558+547+549+572+569+574)/8</f>
        <v>555.875</v>
      </c>
      <c r="G124" s="32" t="s">
        <v>162</v>
      </c>
      <c r="H124" s="32" t="s">
        <v>155</v>
      </c>
      <c r="I124" s="33"/>
      <c r="L124" s="28"/>
      <c r="M124" s="28"/>
      <c r="N124"/>
    </row>
    <row r="125" spans="1:14">
      <c r="A125" s="30" t="s">
        <v>80</v>
      </c>
      <c r="B125" s="30" t="s">
        <v>194</v>
      </c>
      <c r="C125" s="30" t="s">
        <v>65</v>
      </c>
      <c r="D125" s="30" t="s">
        <v>204</v>
      </c>
      <c r="E125" s="31" t="s">
        <v>16</v>
      </c>
      <c r="F125" s="32">
        <f>((480*2)+(485*2)+(513*2)+(509*1)+(530*1))/8</f>
        <v>499.375</v>
      </c>
      <c r="G125" s="32" t="s">
        <v>101</v>
      </c>
      <c r="H125" s="32" t="s">
        <v>87</v>
      </c>
      <c r="I125" s="33"/>
      <c r="L125" s="28"/>
      <c r="M125" s="28"/>
      <c r="N125"/>
    </row>
    <row r="126" spans="1:14">
      <c r="A126" s="30" t="s">
        <v>80</v>
      </c>
      <c r="B126" s="30" t="s">
        <v>201</v>
      </c>
      <c r="C126" s="30" t="s">
        <v>65</v>
      </c>
      <c r="D126" s="30" t="s">
        <v>205</v>
      </c>
      <c r="E126" s="31" t="s">
        <v>16</v>
      </c>
      <c r="F126" s="32">
        <f>((559*2)+(588.5*2)+(580*2)+(569.5*2))/8</f>
        <v>574.25</v>
      </c>
      <c r="G126" s="32" t="s">
        <v>162</v>
      </c>
      <c r="H126" s="32" t="s">
        <v>155</v>
      </c>
      <c r="I126" s="33"/>
      <c r="L126" s="28"/>
      <c r="M126" s="28"/>
      <c r="N126"/>
    </row>
    <row r="127" spans="1:14">
      <c r="A127" s="30" t="s">
        <v>80</v>
      </c>
      <c r="B127" s="30" t="s">
        <v>201</v>
      </c>
      <c r="C127" s="30" t="s">
        <v>65</v>
      </c>
      <c r="D127" s="30" t="s">
        <v>206</v>
      </c>
      <c r="E127" s="31" t="s">
        <v>16</v>
      </c>
      <c r="F127" s="32">
        <f>(625+627+642+633+635+653+651+655)/8</f>
        <v>640.125</v>
      </c>
      <c r="G127" s="32" t="s">
        <v>176</v>
      </c>
      <c r="H127" s="32" t="s">
        <v>167</v>
      </c>
      <c r="I127" s="33"/>
      <c r="L127" s="28"/>
      <c r="M127" s="28"/>
      <c r="N127"/>
    </row>
    <row r="128" spans="1:14">
      <c r="A128" s="30" t="s">
        <v>80</v>
      </c>
      <c r="B128" s="30" t="s">
        <v>201</v>
      </c>
      <c r="C128" s="30" t="s">
        <v>65</v>
      </c>
      <c r="D128" s="30" t="s">
        <v>207</v>
      </c>
      <c r="E128" s="31" t="s">
        <v>44</v>
      </c>
      <c r="F128" s="32">
        <f>(588+588+605+596+601+614+600+603)/8</f>
        <v>599.375</v>
      </c>
      <c r="G128" s="32" t="s">
        <v>162</v>
      </c>
      <c r="H128" s="32" t="s">
        <v>155</v>
      </c>
      <c r="I128" s="33"/>
      <c r="L128" s="28"/>
      <c r="M128" s="28"/>
      <c r="N128"/>
    </row>
    <row r="129" spans="1:14">
      <c r="A129" s="30" t="s">
        <v>24</v>
      </c>
      <c r="B129" s="30" t="s">
        <v>208</v>
      </c>
      <c r="C129" s="30" t="s">
        <v>65</v>
      </c>
      <c r="D129" s="30" t="s">
        <v>209</v>
      </c>
      <c r="E129" s="31" t="s">
        <v>44</v>
      </c>
      <c r="F129" s="32">
        <v>471.14285714285717</v>
      </c>
      <c r="G129" s="32" t="s">
        <v>101</v>
      </c>
      <c r="H129" s="32" t="s">
        <v>87</v>
      </c>
      <c r="I129" s="33"/>
      <c r="L129" s="28"/>
      <c r="M129" s="28"/>
      <c r="N129"/>
    </row>
    <row r="130" spans="1:14">
      <c r="A130" s="30" t="s">
        <v>24</v>
      </c>
      <c r="B130" s="30" t="s">
        <v>208</v>
      </c>
      <c r="C130" s="30" t="s">
        <v>65</v>
      </c>
      <c r="D130" s="30" t="s">
        <v>210</v>
      </c>
      <c r="E130" s="31" t="s">
        <v>16</v>
      </c>
      <c r="F130" s="32">
        <v>462.61904761904759</v>
      </c>
      <c r="G130" s="32" t="s">
        <v>101</v>
      </c>
      <c r="H130" s="32" t="s">
        <v>87</v>
      </c>
      <c r="I130" s="33"/>
      <c r="L130" s="28"/>
      <c r="M130" s="28"/>
      <c r="N130"/>
    </row>
    <row r="131" spans="1:14">
      <c r="A131" s="30" t="s">
        <v>24</v>
      </c>
      <c r="B131" s="30" t="s">
        <v>208</v>
      </c>
      <c r="C131" s="30" t="s">
        <v>65</v>
      </c>
      <c r="D131" s="30" t="s">
        <v>211</v>
      </c>
      <c r="E131" s="31" t="s">
        <v>16</v>
      </c>
      <c r="F131" s="32">
        <v>462.61904761904759</v>
      </c>
      <c r="G131" s="32" t="s">
        <v>101</v>
      </c>
      <c r="H131" s="32" t="s">
        <v>87</v>
      </c>
      <c r="I131" s="33"/>
      <c r="L131" s="28"/>
      <c r="M131" s="28"/>
      <c r="N131"/>
    </row>
    <row r="132" spans="1:14">
      <c r="A132" s="30" t="s">
        <v>24</v>
      </c>
      <c r="B132" s="30" t="s">
        <v>212</v>
      </c>
      <c r="C132" s="30" t="s">
        <v>65</v>
      </c>
      <c r="D132" s="30" t="s">
        <v>213</v>
      </c>
      <c r="E132" s="31" t="s">
        <v>16</v>
      </c>
      <c r="F132" s="32">
        <v>462.61904761904759</v>
      </c>
      <c r="G132" s="32" t="s">
        <v>101</v>
      </c>
      <c r="H132" s="32" t="s">
        <v>87</v>
      </c>
      <c r="I132" s="33"/>
      <c r="L132" s="28"/>
      <c r="M132" s="28"/>
      <c r="N132"/>
    </row>
    <row r="133" spans="1:14">
      <c r="A133" s="30" t="s">
        <v>24</v>
      </c>
      <c r="B133" s="30" t="s">
        <v>212</v>
      </c>
      <c r="C133" s="30" t="s">
        <v>65</v>
      </c>
      <c r="D133" s="30" t="s">
        <v>214</v>
      </c>
      <c r="E133" s="31" t="s">
        <v>16</v>
      </c>
      <c r="F133" s="32">
        <v>462.61904761904759</v>
      </c>
      <c r="G133" s="32" t="s">
        <v>101</v>
      </c>
      <c r="H133" s="32" t="s">
        <v>87</v>
      </c>
      <c r="I133" s="33"/>
      <c r="L133" s="28"/>
      <c r="M133" s="28"/>
      <c r="N133"/>
    </row>
    <row r="134" spans="1:14">
      <c r="A134" s="30" t="s">
        <v>24</v>
      </c>
      <c r="B134" s="30" t="s">
        <v>212</v>
      </c>
      <c r="C134" s="30" t="s">
        <v>65</v>
      </c>
      <c r="D134" s="30" t="s">
        <v>215</v>
      </c>
      <c r="E134" s="31" t="s">
        <v>16</v>
      </c>
      <c r="F134" s="32">
        <v>462.61904761904759</v>
      </c>
      <c r="G134" s="32" t="s">
        <v>101</v>
      </c>
      <c r="H134" s="32" t="s">
        <v>87</v>
      </c>
      <c r="I134" s="33"/>
      <c r="L134" s="28"/>
      <c r="M134" s="28"/>
      <c r="N134"/>
    </row>
    <row r="135" spans="1:14">
      <c r="A135" s="30" t="s">
        <v>24</v>
      </c>
      <c r="B135" s="30" t="s">
        <v>212</v>
      </c>
      <c r="C135" s="30" t="s">
        <v>65</v>
      </c>
      <c r="D135" s="30" t="s">
        <v>216</v>
      </c>
      <c r="E135" s="31" t="s">
        <v>44</v>
      </c>
      <c r="F135" s="32">
        <v>471.14285714285717</v>
      </c>
      <c r="G135" s="32" t="s">
        <v>101</v>
      </c>
      <c r="H135" s="32" t="s">
        <v>87</v>
      </c>
      <c r="I135" s="33"/>
      <c r="L135" s="28"/>
      <c r="M135" s="28"/>
      <c r="N135"/>
    </row>
    <row r="136" spans="1:14">
      <c r="A136" s="30" t="s">
        <v>24</v>
      </c>
      <c r="B136" s="30" t="s">
        <v>212</v>
      </c>
      <c r="C136" s="30" t="s">
        <v>65</v>
      </c>
      <c r="D136" s="30" t="s">
        <v>217</v>
      </c>
      <c r="E136" s="31" t="s">
        <v>16</v>
      </c>
      <c r="F136" s="32">
        <v>462.61904761904759</v>
      </c>
      <c r="G136" s="32" t="s">
        <v>101</v>
      </c>
      <c r="H136" s="32" t="s">
        <v>87</v>
      </c>
      <c r="I136" s="33"/>
      <c r="L136" s="28"/>
      <c r="M136" s="28"/>
      <c r="N136"/>
    </row>
    <row r="137" spans="1:14">
      <c r="A137" s="30" t="s">
        <v>24</v>
      </c>
      <c r="B137" s="30" t="s">
        <v>212</v>
      </c>
      <c r="C137" s="30" t="s">
        <v>65</v>
      </c>
      <c r="D137" s="30" t="s">
        <v>218</v>
      </c>
      <c r="E137" s="31" t="s">
        <v>16</v>
      </c>
      <c r="F137" s="32">
        <v>462.61904761904759</v>
      </c>
      <c r="G137" s="32" t="s">
        <v>101</v>
      </c>
      <c r="H137" s="32" t="s">
        <v>87</v>
      </c>
      <c r="I137" s="33"/>
      <c r="L137" s="28"/>
      <c r="M137" s="28"/>
      <c r="N137"/>
    </row>
    <row r="138" spans="1:14">
      <c r="A138" s="30" t="s">
        <v>24</v>
      </c>
      <c r="B138" s="30" t="s">
        <v>212</v>
      </c>
      <c r="C138" s="30" t="s">
        <v>65</v>
      </c>
      <c r="D138" s="30" t="s">
        <v>219</v>
      </c>
      <c r="E138" s="31" t="s">
        <v>16</v>
      </c>
      <c r="F138" s="32">
        <v>462.61904761904759</v>
      </c>
      <c r="G138" s="32" t="s">
        <v>101</v>
      </c>
      <c r="H138" s="32" t="s">
        <v>87</v>
      </c>
      <c r="I138" s="33"/>
      <c r="L138" s="28"/>
      <c r="M138" s="28"/>
      <c r="N138"/>
    </row>
    <row r="139" spans="1:14">
      <c r="A139" s="30" t="s">
        <v>24</v>
      </c>
      <c r="B139" s="30" t="s">
        <v>208</v>
      </c>
      <c r="C139" s="30" t="s">
        <v>65</v>
      </c>
      <c r="D139" s="30" t="s">
        <v>220</v>
      </c>
      <c r="E139" s="31" t="s">
        <v>44</v>
      </c>
      <c r="F139" s="32">
        <v>471.14285714285717</v>
      </c>
      <c r="G139" s="32" t="s">
        <v>101</v>
      </c>
      <c r="H139" s="32" t="s">
        <v>87</v>
      </c>
      <c r="I139" s="33"/>
      <c r="L139" s="28"/>
      <c r="M139" s="28"/>
      <c r="N139"/>
    </row>
    <row r="140" spans="1:14">
      <c r="A140" s="30" t="s">
        <v>24</v>
      </c>
      <c r="B140" s="30" t="s">
        <v>212</v>
      </c>
      <c r="C140" s="30" t="s">
        <v>65</v>
      </c>
      <c r="D140" s="30" t="s">
        <v>221</v>
      </c>
      <c r="E140" s="31" t="s">
        <v>16</v>
      </c>
      <c r="F140" s="32">
        <v>462.61904761904759</v>
      </c>
      <c r="G140" s="32" t="s">
        <v>101</v>
      </c>
      <c r="H140" s="32" t="s">
        <v>87</v>
      </c>
      <c r="I140" s="33"/>
      <c r="L140" s="28"/>
      <c r="M140" s="28"/>
      <c r="N140"/>
    </row>
  </sheetData>
  <autoFilter ref="A1:M140" xr:uid="{7CBBDD46-D7C1-445F-8B85-68A955A0BC06}"/>
  <phoneticPr fontId="7" type="noConversion"/>
  <conditionalFormatting sqref="A14 C14 D14:D47 F15:H16 A15:C19 G17:H17 F18:H18 G19:H21 A20 C20 K20 A21:C61 F22:H47 D48:H48 D49:D56 F49:H56 D57:H57 D58:D61 F58:H61 E59 G85:H85 A88:H89">
    <cfRule type="cellIs" dxfId="16" priority="46" operator="equal">
      <formula>54</formula>
    </cfRule>
  </conditionalFormatting>
  <conditionalFormatting sqref="A97:D98">
    <cfRule type="cellIs" dxfId="15" priority="37" operator="equal">
      <formula>54</formula>
    </cfRule>
  </conditionalFormatting>
  <conditionalFormatting sqref="A112:H112">
    <cfRule type="cellIs" dxfId="14" priority="4" operator="equal">
      <formula>54</formula>
    </cfRule>
  </conditionalFormatting>
  <conditionalFormatting sqref="B101:B104">
    <cfRule type="cellIs" dxfId="13" priority="34" operator="equal">
      <formula>54</formula>
    </cfRule>
  </conditionalFormatting>
  <conditionalFormatting sqref="B105:D110">
    <cfRule type="cellIs" dxfId="12" priority="32" operator="equal">
      <formula>54</formula>
    </cfRule>
  </conditionalFormatting>
  <conditionalFormatting sqref="B113:D140">
    <cfRule type="cellIs" dxfId="11" priority="6" operator="equal">
      <formula>54</formula>
    </cfRule>
  </conditionalFormatting>
  <conditionalFormatting sqref="E12:E13 E64:H64 E81 A85:E86">
    <cfRule type="cellIs" dxfId="10" priority="43" operator="equal">
      <formula>54</formula>
    </cfRule>
  </conditionalFormatting>
  <conditionalFormatting sqref="E16 E29 E36:E37 E46 E50:E53 A92:E92">
    <cfRule type="cellIs" dxfId="9" priority="42" operator="equal">
      <formula>54</formula>
    </cfRule>
  </conditionalFormatting>
  <conditionalFormatting sqref="E98:H98">
    <cfRule type="cellIs" dxfId="8" priority="36" operator="equal">
      <formula>54</formula>
    </cfRule>
  </conditionalFormatting>
  <conditionalFormatting sqref="E111:H111">
    <cfRule type="cellIs" dxfId="7" priority="30" operator="equal">
      <formula>54</formula>
    </cfRule>
  </conditionalFormatting>
  <conditionalFormatting sqref="F15">
    <cfRule type="cellIs" dxfId="6" priority="47" operator="equal">
      <formula>54</formula>
    </cfRule>
  </conditionalFormatting>
  <conditionalFormatting sqref="F68:H68">
    <cfRule type="cellIs" dxfId="5" priority="44" operator="equal">
      <formula>54</formula>
    </cfRule>
  </conditionalFormatting>
  <conditionalFormatting sqref="F97:H97">
    <cfRule type="cellIs" dxfId="4" priority="38" operator="equal">
      <formula>54</formula>
    </cfRule>
  </conditionalFormatting>
  <conditionalFormatting sqref="F1:J1 L1:M1">
    <cfRule type="cellIs" dxfId="3" priority="48" operator="equal">
      <formula>54</formula>
    </cfRule>
  </conditionalFormatting>
  <conditionalFormatting sqref="G14:H14">
    <cfRule type="cellIs" dxfId="2" priority="49" operator="equal">
      <formula>54</formula>
    </cfRule>
  </conditionalFormatting>
  <conditionalFormatting sqref="G93:H96">
    <cfRule type="cellIs" dxfId="1" priority="35" operator="equal">
      <formula>54</formula>
    </cfRule>
  </conditionalFormatting>
  <conditionalFormatting sqref="G92:I92">
    <cfRule type="cellIs" dxfId="0" priority="40" operator="equal">
      <formula>54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32846-9865-4638-bc89-9a952c6dd5e0" xsi:nil="true"/>
    <lcf76f155ced4ddcb4097134ff3c332f xmlns="71edf1b8-40e1-4be8-966c-37f5626d9c1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9001FFCAE9B145B48135B4BD9A73E5" ma:contentTypeVersion="12" ma:contentTypeDescription="Create a new document." ma:contentTypeScope="" ma:versionID="7164a0ef936c27453a8ab2655cfb1775">
  <xsd:schema xmlns:xsd="http://www.w3.org/2001/XMLSchema" xmlns:xs="http://www.w3.org/2001/XMLSchema" xmlns:p="http://schemas.microsoft.com/office/2006/metadata/properties" xmlns:ns2="71edf1b8-40e1-4be8-966c-37f5626d9c1b" xmlns:ns3="ab332846-9865-4638-bc89-9a952c6dd5e0" targetNamespace="http://schemas.microsoft.com/office/2006/metadata/properties" ma:root="true" ma:fieldsID="dbce50248d3c0b88b43ac975964f53c5" ns2:_="" ns3:_="">
    <xsd:import namespace="71edf1b8-40e1-4be8-966c-37f5626d9c1b"/>
    <xsd:import namespace="ab332846-9865-4638-bc89-9a952c6dd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df1b8-40e1-4be8-966c-37f5626d9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5a12e8-5f64-42b2-8883-0cb80ec698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32846-9865-4638-bc89-9a952c6dd5e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26b5df8-8e6e-42a1-9309-c5f0a2d95e60}" ma:internalName="TaxCatchAll" ma:showField="CatchAllData" ma:web="ab332846-9865-4638-bc89-9a952c6dd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0C9015-DBDC-41FA-B12F-48DEDED2D223}"/>
</file>

<file path=customXml/itemProps2.xml><?xml version="1.0" encoding="utf-8"?>
<ds:datastoreItem xmlns:ds="http://schemas.openxmlformats.org/officeDocument/2006/customXml" ds:itemID="{373171A7-1418-4C98-A72F-EF8D8EBF3A17}"/>
</file>

<file path=customXml/itemProps3.xml><?xml version="1.0" encoding="utf-8"?>
<ds:datastoreItem xmlns:ds="http://schemas.openxmlformats.org/officeDocument/2006/customXml" ds:itemID="{2A4E24F7-C357-4953-8E7F-343A03BA3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Kydd - TW Head Office</dc:creator>
  <cp:keywords/>
  <dc:description/>
  <cp:lastModifiedBy/>
  <cp:revision/>
  <dcterms:created xsi:type="dcterms:W3CDTF">2024-06-24T13:23:39Z</dcterms:created>
  <dcterms:modified xsi:type="dcterms:W3CDTF">2026-02-16T14:49:19Z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d8bf61-0f65-4899-b083-70c4fdfcae73_Enabled">
    <vt:lpwstr>true</vt:lpwstr>
  </property>
  <property fmtid="{D5CDD505-2E9C-101B-9397-08002B2CF9AE}" pid="3" name="MSIP_Label_94d8bf61-0f65-4899-b083-70c4fdfcae73_SetDate">
    <vt:lpwstr>2024-06-24T13:23:53Z</vt:lpwstr>
  </property>
  <property fmtid="{D5CDD505-2E9C-101B-9397-08002B2CF9AE}" pid="4" name="MSIP_Label_94d8bf61-0f65-4899-b083-70c4fdfcae73_Method">
    <vt:lpwstr>Standard</vt:lpwstr>
  </property>
  <property fmtid="{D5CDD505-2E9C-101B-9397-08002B2CF9AE}" pid="5" name="MSIP_Label_94d8bf61-0f65-4899-b083-70c4fdfcae73_Name">
    <vt:lpwstr>94d8bf61-0f65-4899-b083-70c4fdfcae73</vt:lpwstr>
  </property>
  <property fmtid="{D5CDD505-2E9C-101B-9397-08002B2CF9AE}" pid="6" name="MSIP_Label_94d8bf61-0f65-4899-b083-70c4fdfcae73_SiteId">
    <vt:lpwstr>111bfc7f-a925-48b6-9802-4c6754c35b6f</vt:lpwstr>
  </property>
  <property fmtid="{D5CDD505-2E9C-101B-9397-08002B2CF9AE}" pid="7" name="MSIP_Label_94d8bf61-0f65-4899-b083-70c4fdfcae73_ActionId">
    <vt:lpwstr>83a153aa-6285-46e9-823d-24f796568875</vt:lpwstr>
  </property>
  <property fmtid="{D5CDD505-2E9C-101B-9397-08002B2CF9AE}" pid="8" name="MSIP_Label_94d8bf61-0f65-4899-b083-70c4fdfcae73_ContentBits">
    <vt:lpwstr>0</vt:lpwstr>
  </property>
  <property fmtid="{D5CDD505-2E9C-101B-9397-08002B2CF9AE}" pid="9" name="ContentTypeId">
    <vt:lpwstr>0x0101000E9001FFCAE9B145B48135B4BD9A73E5</vt:lpwstr>
  </property>
  <property fmtid="{D5CDD505-2E9C-101B-9397-08002B2CF9AE}" pid="10" name="MediaServiceImageTags">
    <vt:lpwstr/>
  </property>
</Properties>
</file>